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user\git\DDS\SCRUM\"/>
    </mc:Choice>
  </mc:AlternateContent>
  <bookViews>
    <workbookView xWindow="0" yWindow="0" windowWidth="20490" windowHeight="775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Sprint!$C$3:$CE$14</definedName>
    <definedName name="_xlnm.Print_Area" localSheetId="2">Capacity!$A$4:$AB$33</definedName>
    <definedName name="Burndown" localSheetId="1">Sprint!$J$5:$CD$15</definedName>
    <definedName name="Burndown">Sprint!$J$5:$CD$15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Sprint!$CE$5:$CE$15</definedName>
    <definedName name="TotalEffort">Sprint!$CE$5:$CE$15</definedName>
    <definedName name="Worktype">'Project Specific Reports'!$A$2:$A$5</definedName>
  </definedNames>
  <calcPr calcId="152511"/>
</workbook>
</file>

<file path=xl/calcChain.xml><?xml version="1.0" encoding="utf-8"?>
<calcChain xmlns="http://schemas.openxmlformats.org/spreadsheetml/2006/main">
  <c r="K5" i="7" l="1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K6" i="7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N4" i="7" s="1"/>
  <c r="L4" i="7" l="1"/>
  <c r="O4" i="7" s="1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L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R4" i="7" l="1"/>
  <c r="L13" i="7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N14" i="7"/>
  <c r="U4" i="7" l="1"/>
  <c r="Q14" i="7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O14" i="7"/>
  <c r="O8" i="7"/>
  <c r="R8" i="7" s="1"/>
  <c r="U8" i="7" s="1"/>
  <c r="G8" i="7" s="1"/>
  <c r="O6" i="7"/>
  <c r="O13" i="7"/>
  <c r="R13" i="7" s="1"/>
  <c r="O11" i="7"/>
  <c r="R11" i="7" s="1"/>
  <c r="O10" i="7"/>
  <c r="R10" i="7" s="1"/>
  <c r="O9" i="7"/>
  <c r="O7" i="7"/>
  <c r="O12" i="7"/>
  <c r="R9" i="7"/>
  <c r="U9" i="7" s="1"/>
  <c r="G9" i="7" s="1"/>
  <c r="X4" i="7" l="1"/>
  <c r="AA4" i="7" s="1"/>
  <c r="R14" i="7"/>
  <c r="U14" i="7" s="1"/>
  <c r="G14" i="7" s="1"/>
  <c r="R6" i="7"/>
  <c r="U6" i="7" s="1"/>
  <c r="R12" i="7"/>
  <c r="U12" i="7" s="1"/>
  <c r="G12" i="7" s="1"/>
  <c r="U13" i="7"/>
  <c r="X9" i="7"/>
  <c r="AA9" i="7" s="1"/>
  <c r="U11" i="7"/>
  <c r="X11" i="7" s="1"/>
  <c r="U10" i="7"/>
  <c r="X10" i="7" s="1"/>
  <c r="AA10" i="7" s="1"/>
  <c r="X8" i="7"/>
  <c r="AA8" i="7" s="1"/>
  <c r="R7" i="7"/>
  <c r="AD4" i="7" l="1"/>
  <c r="AA11" i="7"/>
  <c r="AD11" i="7" s="1"/>
  <c r="X6" i="7"/>
  <c r="AA6" i="7" s="1"/>
  <c r="AD6" i="7" s="1"/>
  <c r="X14" i="7"/>
  <c r="AA14" i="7" s="1"/>
  <c r="X12" i="7"/>
  <c r="G10" i="7"/>
  <c r="AD10" i="7"/>
  <c r="AD9" i="7"/>
  <c r="AG9" i="7" s="1"/>
  <c r="U7" i="7"/>
  <c r="AD8" i="7"/>
  <c r="AG8" i="7" s="1"/>
  <c r="AJ8" i="7" s="1"/>
  <c r="G11" i="7"/>
  <c r="G13" i="7"/>
  <c r="X13" i="7"/>
  <c r="AA12" i="7"/>
  <c r="AG4" i="7" l="1"/>
  <c r="AJ4" i="7" s="1"/>
  <c r="AM4" i="7" s="1"/>
  <c r="AG11" i="7"/>
  <c r="AJ11" i="7" s="1"/>
  <c r="AG6" i="7"/>
  <c r="AJ6" i="7" s="1"/>
  <c r="AD14" i="7"/>
  <c r="AG14" i="7" s="1"/>
  <c r="AJ14" i="7" s="1"/>
  <c r="AA13" i="7"/>
  <c r="AJ9" i="7"/>
  <c r="AM8" i="7"/>
  <c r="AG10" i="7"/>
  <c r="X7" i="7"/>
  <c r="AA7" i="7" s="1"/>
  <c r="AD12" i="7"/>
  <c r="AM11" i="7" l="1"/>
  <c r="AP11" i="7" s="1"/>
  <c r="AM14" i="7"/>
  <c r="AP4" i="7"/>
  <c r="AS4" i="7" s="1"/>
  <c r="AV4" i="7" s="1"/>
  <c r="AY4" i="7" s="1"/>
  <c r="AJ10" i="7"/>
  <c r="AM10" i="7" s="1"/>
  <c r="AP10" i="7" s="1"/>
  <c r="AS10" i="7" s="1"/>
  <c r="AV10" i="7" s="1"/>
  <c r="AY10" i="7" s="1"/>
  <c r="CE10" i="7" s="1"/>
  <c r="AP8" i="7"/>
  <c r="AS8" i="7" s="1"/>
  <c r="AV8" i="7" s="1"/>
  <c r="AY8" i="7" s="1"/>
  <c r="CE8" i="7" s="1"/>
  <c r="AD7" i="7"/>
  <c r="AG7" i="7" s="1"/>
  <c r="AJ7" i="7" s="1"/>
  <c r="AM7" i="7" s="1"/>
  <c r="AP7" i="7" s="1"/>
  <c r="AS7" i="7" s="1"/>
  <c r="AV7" i="7" s="1"/>
  <c r="AY7" i="7" s="1"/>
  <c r="AM9" i="7"/>
  <c r="AP9" i="7" s="1"/>
  <c r="AS9" i="7" s="1"/>
  <c r="AV9" i="7" s="1"/>
  <c r="AY9" i="7" s="1"/>
  <c r="AG12" i="7"/>
  <c r="AJ12" i="7" s="1"/>
  <c r="AM12" i="7" s="1"/>
  <c r="AP12" i="7" s="1"/>
  <c r="AS12" i="7" s="1"/>
  <c r="AV12" i="7" s="1"/>
  <c r="AY12" i="7" s="1"/>
  <c r="AM6" i="7"/>
  <c r="AD13" i="7"/>
  <c r="AP14" i="7"/>
  <c r="AS14" i="7" s="1"/>
  <c r="AV14" i="7" s="1"/>
  <c r="AY14" i="7" s="1"/>
  <c r="AS11" i="7" l="1"/>
  <c r="AV11" i="7" s="1"/>
  <c r="AY11" i="7" s="1"/>
  <c r="CE11" i="7" s="1"/>
  <c r="BZ4" i="7"/>
  <c r="CC4" i="7" s="1"/>
  <c r="CE4" i="7"/>
  <c r="BB4" i="7"/>
  <c r="BE4" i="7" s="1"/>
  <c r="BH4" i="7" s="1"/>
  <c r="BK4" i="7" s="1"/>
  <c r="BN4" i="7" s="1"/>
  <c r="BQ4" i="7" s="1"/>
  <c r="BT4" i="7" s="1"/>
  <c r="BW4" i="7" s="1"/>
  <c r="BB11" i="7"/>
  <c r="BK11" i="7"/>
  <c r="BN11" i="7" s="1"/>
  <c r="BQ11" i="7" s="1"/>
  <c r="BT11" i="7" s="1"/>
  <c r="BW11" i="7" s="1"/>
  <c r="BZ11" i="7" s="1"/>
  <c r="BB12" i="7"/>
  <c r="BE12" i="7" s="1"/>
  <c r="BH12" i="7" s="1"/>
  <c r="BK12" i="7" s="1"/>
  <c r="BN12" i="7" s="1"/>
  <c r="BQ12" i="7" s="1"/>
  <c r="BT12" i="7" s="1"/>
  <c r="BW12" i="7" s="1"/>
  <c r="BZ12" i="7" s="1"/>
  <c r="CC12" i="7" s="1"/>
  <c r="CE12" i="7"/>
  <c r="CE9" i="7"/>
  <c r="BB9" i="7"/>
  <c r="BE9" i="7" s="1"/>
  <c r="BH9" i="7" s="1"/>
  <c r="BK9" i="7" s="1"/>
  <c r="BN9" i="7" s="1"/>
  <c r="BQ9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7" i="7"/>
  <c r="BB7" i="7"/>
  <c r="BE7" i="7" s="1"/>
  <c r="CC10" i="7"/>
  <c r="BB10" i="7"/>
  <c r="BE10" i="7" s="1"/>
  <c r="BH10" i="7" s="1"/>
  <c r="BK10" i="7" s="1"/>
  <c r="BN10" i="7" s="1"/>
  <c r="BQ10" i="7" s="1"/>
  <c r="BT10" i="7" s="1"/>
  <c r="BW10" i="7" s="1"/>
  <c r="BZ10" i="7" s="1"/>
  <c r="AG13" i="7"/>
  <c r="AJ13" i="7"/>
  <c r="AM13" i="7" s="1"/>
  <c r="AP13" i="7" s="1"/>
  <c r="AS13" i="7" s="1"/>
  <c r="BZ9" i="7"/>
  <c r="CC9" i="7" s="1"/>
  <c r="BT9" i="7"/>
  <c r="BW9" i="7" s="1"/>
  <c r="AP6" i="7"/>
  <c r="AS6" i="7" s="1"/>
  <c r="AV6" i="7" s="1"/>
  <c r="AY6" i="7" s="1"/>
  <c r="CE6" i="7" s="1"/>
  <c r="BB8" i="7"/>
  <c r="BE8" i="7" s="1"/>
  <c r="CC11" i="7" l="1"/>
  <c r="BE11" i="7"/>
  <c r="BH11" i="7" s="1"/>
  <c r="BH8" i="7"/>
  <c r="BK8" i="7" s="1"/>
  <c r="BN8" i="7" s="1"/>
  <c r="BQ8" i="7" s="1"/>
  <c r="BT8" i="7" s="1"/>
  <c r="BW8" i="7" s="1"/>
  <c r="BZ8" i="7" s="1"/>
  <c r="CC8" i="7" s="1"/>
  <c r="BH7" i="7"/>
  <c r="BK7" i="7" s="1"/>
  <c r="BN7" i="7" s="1"/>
  <c r="BQ7" i="7" s="1"/>
  <c r="BT7" i="7" s="1"/>
  <c r="BW7" i="7" s="1"/>
  <c r="BZ7" i="7" s="1"/>
  <c r="CC7" i="7" s="1"/>
  <c r="G6" i="7"/>
  <c r="AV13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G7" i="7" l="1"/>
  <c r="AY13" i="7"/>
  <c r="BQ13" i="7" s="1"/>
  <c r="BT13" i="7" s="1"/>
  <c r="BW13" i="7" s="1"/>
  <c r="BZ13" i="7" s="1"/>
  <c r="CE13" i="7" l="1"/>
  <c r="BK13" i="7"/>
  <c r="BN13" i="7" s="1"/>
  <c r="BB13" i="7"/>
  <c r="BE13" i="7"/>
  <c r="BH13" i="7" s="1"/>
  <c r="CC13" i="7"/>
  <c r="B24" i="9"/>
  <c r="B21" i="9"/>
  <c r="B20" i="9"/>
  <c r="B19" i="9"/>
  <c r="B18" i="9"/>
  <c r="B17" i="9"/>
  <c r="B16" i="9"/>
  <c r="B15" i="9"/>
  <c r="B14" i="9"/>
  <c r="B13" i="9"/>
  <c r="B12" i="9"/>
  <c r="B11" i="9"/>
  <c r="B10" i="9"/>
  <c r="B5" i="9"/>
  <c r="B4" i="9"/>
  <c r="B3" i="9"/>
  <c r="B25" i="9" l="1"/>
  <c r="C9" i="9" s="1"/>
  <c r="B6" i="9"/>
  <c r="BA5" i="7"/>
  <c r="BD5" i="7" s="1"/>
  <c r="BG5" i="7" s="1"/>
  <c r="BJ5" i="7" s="1"/>
  <c r="BM5" i="7" s="1"/>
  <c r="BP5" i="7" s="1"/>
  <c r="BS5" i="7" s="1"/>
  <c r="BV5" i="7" s="1"/>
  <c r="BY5" i="7" s="1"/>
  <c r="CB5" i="7" s="1"/>
  <c r="L5" i="7"/>
  <c r="G1" i="7"/>
  <c r="D2" i="6"/>
  <c r="D3" i="6"/>
  <c r="I6" i="6" s="1"/>
  <c r="J1" i="7"/>
  <c r="M1" i="7" s="1"/>
  <c r="O16" i="7"/>
  <c r="R16" i="7" s="1"/>
  <c r="U16" i="7" s="1"/>
  <c r="X16" i="7" s="1"/>
  <c r="AA16" i="7" s="1"/>
  <c r="AD16" i="7" s="1"/>
  <c r="AG16" i="7" s="1"/>
  <c r="AJ16" i="7" s="1"/>
  <c r="AM16" i="7" s="1"/>
  <c r="AP16" i="7" s="1"/>
  <c r="AS16" i="7" s="1"/>
  <c r="AV16" i="7" s="1"/>
  <c r="AY16" i="7" s="1"/>
  <c r="Y20" i="7"/>
  <c r="AB20" i="7"/>
  <c r="AE20" i="7"/>
  <c r="AH20" i="7"/>
  <c r="AK20" i="7"/>
  <c r="AN20" i="7"/>
  <c r="AQ20" i="7"/>
  <c r="AT20" i="7"/>
  <c r="AW20" i="7"/>
  <c r="J20" i="7"/>
  <c r="A19" i="8"/>
  <c r="CE15" i="7"/>
  <c r="I20" i="7"/>
  <c r="M20" i="7"/>
  <c r="P20" i="7"/>
  <c r="S20" i="7"/>
  <c r="V20" i="7"/>
  <c r="AZ20" i="7"/>
  <c r="BC20" i="7"/>
  <c r="BF20" i="7"/>
  <c r="BI20" i="7"/>
  <c r="BL20" i="7"/>
  <c r="BO20" i="7"/>
  <c r="BR20" i="7"/>
  <c r="BU20" i="7"/>
  <c r="BX20" i="7"/>
  <c r="CA20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4" i="9" l="1"/>
  <c r="C3" i="9"/>
  <c r="C2" i="9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20" i="7"/>
  <c r="BD20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BG20" i="7"/>
  <c r="K20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20" i="7"/>
  <c r="O5" i="7"/>
  <c r="R5" i="7" s="1"/>
  <c r="BJ20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20" i="7"/>
  <c r="F31" i="8"/>
  <c r="W20" i="7"/>
  <c r="T20" i="7"/>
  <c r="F37" i="8"/>
  <c r="F35" i="8"/>
  <c r="U5" i="7"/>
  <c r="F24" i="8"/>
  <c r="F27" i="8" s="1"/>
  <c r="F28" i="8" s="1"/>
  <c r="BM20" i="7"/>
  <c r="Z20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5" i="7"/>
  <c r="BP20" i="7"/>
  <c r="G25" i="8"/>
  <c r="AC20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5" i="7"/>
  <c r="AD5" i="7" s="1"/>
  <c r="BS20" i="7"/>
  <c r="AF20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5" i="7"/>
  <c r="AJ5" i="7" s="1"/>
  <c r="J36" i="8"/>
  <c r="BV20" i="7"/>
  <c r="AI20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5" i="7"/>
  <c r="AP5" i="7" s="1"/>
  <c r="AS5" i="7" s="1"/>
  <c r="AV5" i="7" s="1"/>
  <c r="AY5" i="7" s="1"/>
  <c r="CE5" i="7" s="1"/>
  <c r="CB20" i="7"/>
  <c r="BY20" i="7"/>
  <c r="J27" i="8"/>
  <c r="J28" i="8" s="1"/>
  <c r="J25" i="8"/>
  <c r="AL20" i="7"/>
  <c r="C9" i="6"/>
  <c r="C10" i="6" s="1"/>
  <c r="AH1" i="7"/>
  <c r="L20" i="8"/>
  <c r="K22" i="8"/>
  <c r="K23" i="8"/>
  <c r="K24" i="8" s="1"/>
  <c r="K36" i="8" l="1"/>
  <c r="K35" i="8"/>
  <c r="K37" i="8"/>
  <c r="K31" i="8"/>
  <c r="G5" i="7"/>
  <c r="B28" i="9" s="1"/>
  <c r="BB5" i="7"/>
  <c r="BE5" i="7" s="1"/>
  <c r="AO20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BH5" i="7" l="1"/>
  <c r="BK5" i="7" s="1"/>
  <c r="BN5" i="7" s="1"/>
  <c r="BQ5" i="7" s="1"/>
  <c r="BT5" i="7" s="1"/>
  <c r="BW5" i="7" s="1"/>
  <c r="BZ5" i="7" s="1"/>
  <c r="CC5" i="7" s="1"/>
  <c r="AR20" i="7"/>
  <c r="L25" i="8"/>
  <c r="N20" i="8"/>
  <c r="AN1" i="7"/>
  <c r="M23" i="8"/>
  <c r="M24" i="8" s="1"/>
  <c r="M27" i="8" s="1"/>
  <c r="M37" i="8"/>
  <c r="M31" i="8"/>
  <c r="M22" i="8"/>
  <c r="M35" i="8"/>
  <c r="M36" i="8"/>
  <c r="G4" i="7" l="1"/>
  <c r="M28" i="8"/>
  <c r="AU20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N28" i="8"/>
  <c r="AX20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20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20" i="7"/>
  <c r="R25" i="8" l="1"/>
  <c r="R29" i="8" s="1"/>
  <c r="R32" i="8"/>
  <c r="Q27" i="8"/>
  <c r="Q28" i="8" s="1"/>
  <c r="Q25" i="8"/>
  <c r="Q29" i="8" s="1"/>
  <c r="Q32" i="8"/>
  <c r="BH20" i="7"/>
  <c r="BK20" i="7" l="1"/>
  <c r="BN20" i="7" l="1"/>
  <c r="BQ20" i="7" l="1"/>
  <c r="BT20" i="7" l="1"/>
  <c r="BW20" i="7" l="1"/>
  <c r="BZ20" i="7" l="1"/>
  <c r="CC20" i="7"/>
  <c r="C5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<sst xmlns="http://schemas.openxmlformats.org/spreadsheetml/2006/main" count="269" uniqueCount="158">
  <si>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</si>
  <si>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</si>
  <si>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</si>
  <si>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</si>
  <si>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</si>
  <si>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</si>
  <si>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</si>
  <si>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</si>
  <si>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</si>
  <si>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</si>
  <si>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</si>
  <si>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</si>
  <si>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</si>
  <si>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</si>
  <si>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</si>
  <si>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</si>
  <si>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</si>
  <si>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</si>
  <si>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</si>
  <si>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</si>
  <si>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</si>
  <si>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</si>
  <si>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</si>
  <si>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</si>
  <si>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</si>
  <si>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</si>
  <si>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</si>
  <si>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</si>
  <si>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</si>
  <si>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</si>
  <si>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</si>
  <si>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</si>
  <si>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</si>
  <si>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</si>
  <si>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</si>
  <si>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</si>
  <si>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</si>
  <si>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</si>
  <si>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</si>
  <si>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</si>
  <si>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</si>
  <si>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</si>
  <si>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</si>
  <si>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</si>
  <si>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</si>
  <si>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</si>
  <si>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</si>
  <si>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</si>
  <si>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</si>
  <si>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</si>
  <si>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</si>
  <si>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</si>
  <si>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</si>
  <si>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</si>
  <si>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</si>
  <si>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</si>
  <si>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</si>
  <si>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</si>
  <si>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</si>
  <si>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</si>
  <si>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</si>
  <si>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</si>
  <si>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</si>
  <si>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</si>
  <si>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</si>
  <si>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</si>
  <si>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</si>
  <si>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</si>
  <si>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</si>
  <si>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</si>
  <si>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</si>
  <si>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</si>
  <si>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</si>
  <si>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</si>
  <si>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</si>
  <si>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</si>
  <si>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</si>
  <si>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</si>
  <si>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</si>
  <si>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</si>
  <si>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</si>
  <si>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</si>
  <si>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</si>
  <si>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</si>
  <si>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</si>
  <si>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</si>
  <si>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</si>
  <si>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</si>
  <si>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</si>
  <si>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</si>
  <si>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</si>
  <si>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</si>
  <si>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</si>
  <si>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</si>
  <si>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</si>
  <si>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</si>
  <si>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</si>
  <si>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</si>
  <si>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</si>
  <si>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</si>
  <si>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</si>
  <si>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</si>
  <si>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</si>
  <si>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</si>
  <si>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</si>
  <si>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</si>
  <si>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</si>
  <si>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</si>
  <si>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</si>
  <si>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</si>
  <si>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</si>
  <si>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</si>
  <si>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</si>
  <si>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</si>
  <si>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</si>
  <si>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</si>
  <si>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</si>
  <si>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</si>
  <si>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</si>
  <si>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</si>
  <si>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</si>
  <si>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</si>
  <si>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</si>
  <si>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</si>
  <si>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</si>
  <si>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</si>
  <si>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</si>
  <si>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</si>
  <si>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</si>
  <si>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</si>
  <si>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</si>
  <si>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</si>
  <si>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</si>
  <si>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Dardis, Marco</t>
  </si>
  <si>
    <t>Scarazzato, Omar</t>
  </si>
  <si>
    <t>Lott, Sebastián</t>
  </si>
  <si>
    <t>Buzzetti, Jonathan</t>
  </si>
  <si>
    <t>jony.buzz@hotmail.com</t>
  </si>
  <si>
    <t>omar_sto@yahoo.com.ar</t>
  </si>
  <si>
    <t>sebastianlott@gmail.com</t>
  </si>
  <si>
    <t>marco.dardis@gmail.com</t>
  </si>
  <si>
    <t>Grupo  6</t>
  </si>
  <si>
    <t>Diseñar 2 soluciones posibles</t>
  </si>
  <si>
    <t>Implementar los casos de prueba</t>
  </si>
  <si>
    <t>Hacer analisis comparativo</t>
  </si>
  <si>
    <t>2.1</t>
  </si>
  <si>
    <t>2.2</t>
  </si>
  <si>
    <t>2.3</t>
  </si>
  <si>
    <t>2.4</t>
  </si>
  <si>
    <t>3.1</t>
  </si>
  <si>
    <t>Implementar los casos de uso</t>
  </si>
  <si>
    <t>3.2</t>
  </si>
  <si>
    <t>3.3</t>
  </si>
  <si>
    <t>Indicar los conceptos de diseño</t>
  </si>
  <si>
    <t>3.4</t>
  </si>
  <si>
    <t>Justificar las desiciones de diseño</t>
  </si>
  <si>
    <t>Entrega 2</t>
  </si>
  <si>
    <t>Entrega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</si>
</sst>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9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u/>
      <sz val="8"/>
      <name val="Tahoma"/>
      <family val="2"/>
    </font>
    <font>
      <u/>
      <sz val="8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7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46" fillId="30" borderId="53" xfId="36" applyFont="1" applyFill="1" applyBorder="1" applyAlignment="1" applyProtection="1">
      <alignment horizontal="left"/>
    </xf>
    <xf numFmtId="0" fontId="47" fillId="22" borderId="0" xfId="0" applyFont="1" applyFill="1" applyBorder="1"/>
    <xf numFmtId="164" fontId="48" fillId="0" borderId="0" xfId="0" applyNumberFormat="1" applyFont="1"/>
    <xf numFmtId="49" fontId="47" fillId="0" borderId="11" xfId="0" applyNumberFormat="1" applyFont="1" applyFill="1" applyBorder="1" applyAlignment="1">
      <alignment horizontal="left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uena" xfId="31" builtinId="26" customBuiltin="1"/>
    <cellStyle name="Cálculo" xfId="26" builtinId="22" customBuiltin="1"/>
    <cellStyle name="Celda de comprobación" xfId="27" builtinId="23" customBuiltin="1"/>
    <cellStyle name="Celda vinculada" xfId="38" builtinId="24" customBuiltin="1"/>
    <cellStyle name="Emphasis 1" xfId="28"/>
    <cellStyle name="Emphasis 2" xfId="29"/>
    <cellStyle name="Emphasis 3" xfId="30"/>
    <cellStyle name="Encabezado 1" xfId="32" builtinId="16" customBuiltin="1"/>
    <cellStyle name="Encabezado 4" xfId="35" builtinId="19" customBuiltin="1"/>
    <cellStyle name="Énfasis1" xfId="1" builtinId="29" customBuiltin="1"/>
    <cellStyle name="Énfasis2" xfId="5" builtinId="33" customBuiltin="1"/>
    <cellStyle name="Énfasis3" xfId="9" builtinId="37" customBuiltin="1"/>
    <cellStyle name="Énfasis4" xfId="13" builtinId="41" customBuiltin="1"/>
    <cellStyle name="Énfasis5" xfId="17" builtinId="45" customBuiltin="1"/>
    <cellStyle name="Énfasis6" xfId="21" builtinId="49" customBuiltin="1"/>
    <cellStyle name="Entrada" xfId="37" builtinId="20" customBuiltin="1"/>
    <cellStyle name="Hipervínculo" xfId="36" builtinId="8"/>
    <cellStyle name="Incorrecto" xfId="25" builtinId="27" customBuiltin="1"/>
    <cellStyle name="Neutral" xfId="39" builtinId="28" customBuiltin="1"/>
    <cellStyle name="Normal" xfId="0" builtinId="0"/>
    <cellStyle name="Normal 2" xfId="45"/>
    <cellStyle name="Notas" xfId="40" builtinId="10" customBuiltin="1"/>
    <cellStyle name="Salida" xfId="41" builtinId="21" customBuiltin="1"/>
    <cellStyle name="Sheet Title" xfId="42"/>
    <cellStyle name="Texto de advertencia" xfId="44" builtinId="11" customBuiltin="1"/>
    <cellStyle name="Título 2" xfId="33" builtinId="17" customBuiltin="1"/>
    <cellStyle name="Título 3" xfId="34" builtinId="18" customBuiltin="1"/>
    <cellStyle name="Total" xfId="43" builtinId="25" customBuiltin="1"/>
  </cellStyles>
  <dxfs count="64"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10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8845008"/>
        <c:axId val="1818846096"/>
      </c:areaChart>
      <c:catAx>
        <c:axId val="1818845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AR"/>
          </a:p>
        </c:txPr>
        <c:crossAx val="18188460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8188460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81884500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8844464"/>
        <c:axId val="476086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844464"/>
        <c:axId val="4760864"/>
      </c:lineChart>
      <c:catAx>
        <c:axId val="1818844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AR"/>
          </a:p>
        </c:txPr>
        <c:crossAx val="476086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76086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AR"/>
          </a:p>
        </c:txPr>
        <c:crossAx val="18188444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62496"/>
        <c:axId val="4763584"/>
      </c:barChart>
      <c:catAx>
        <c:axId val="4762496"/>
        <c:scaling>
          <c:orientation val="minMax"/>
        </c:scaling>
        <c:delete val="0"/>
        <c:axPos val="b"/>
        <c:majorTickMark val="out"/>
        <c:minorTickMark val="none"/>
        <c:tickLblPos val="nextTo"/>
        <c:crossAx val="4763584"/>
        <c:crosses val="autoZero"/>
        <c:auto val="1"/>
        <c:lblAlgn val="ctr"/>
        <c:lblOffset val="100"/>
        <c:noMultiLvlLbl val="0"/>
      </c:catAx>
      <c:valAx>
        <c:axId val="47635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762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17888"/>
        <c:axId val="7519520"/>
      </c:barChart>
      <c:catAx>
        <c:axId val="7517888"/>
        <c:scaling>
          <c:orientation val="minMax"/>
        </c:scaling>
        <c:delete val="0"/>
        <c:axPos val="b"/>
        <c:majorTickMark val="out"/>
        <c:minorTickMark val="none"/>
        <c:tickLblPos val="nextTo"/>
        <c:crossAx val="7519520"/>
        <c:crosses val="autoZero"/>
        <c:auto val="1"/>
        <c:lblAlgn val="ctr"/>
        <c:lblOffset val="100"/>
        <c:noMultiLvlLbl val="0"/>
      </c:catAx>
      <c:valAx>
        <c:axId val="75195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7517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18976"/>
        <c:axId val="7516800"/>
      </c:barChart>
      <c:catAx>
        <c:axId val="7518976"/>
        <c:scaling>
          <c:orientation val="minMax"/>
        </c:scaling>
        <c:delete val="0"/>
        <c:axPos val="b"/>
        <c:majorTickMark val="out"/>
        <c:minorTickMark val="none"/>
        <c:tickLblPos val="nextTo"/>
        <c:crossAx val="7516800"/>
        <c:crosses val="autoZero"/>
        <c:auto val="1"/>
        <c:lblAlgn val="ctr"/>
        <c:lblOffset val="100"/>
        <c:noMultiLvlLbl val="0"/>
      </c:catAx>
      <c:valAx>
        <c:axId val="75168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7518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omar_sto@yahoo.com.ar" TargetMode="External"/><Relationship Id="rId2" Type="http://schemas.openxmlformats.org/officeDocument/2006/relationships/hyperlink" Target="mailto:jony.buzz@hotmail.com" TargetMode="External"/><Relationship Id="rId1" Type="http://schemas.openxmlformats.org/officeDocument/2006/relationships/hyperlink" Target="mailto:jony.buzz@hot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marco.dardis@gmail.com" TargetMode="External"/><Relationship Id="rId4" Type="http://schemas.openxmlformats.org/officeDocument/2006/relationships/hyperlink" Target="mailto:sebastianlott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24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12" sqref="E12"/>
    </sheetView>
  </sheetViews>
  <sheetFormatPr baseColWidth="10" defaultColWidth="9.140625"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52.425781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41795</v>
      </c>
      <c r="H1" s="1"/>
      <c r="I1" s="1"/>
      <c r="J1" s="187">
        <f>SprintStart</f>
        <v>41795</v>
      </c>
      <c r="K1" s="187"/>
      <c r="L1" s="187"/>
      <c r="M1" s="187">
        <f>IF(AND(SkipWeekends, WEEKDAY(J1)=6),J1+3, J1+1)</f>
        <v>41796</v>
      </c>
      <c r="N1" s="187"/>
      <c r="O1" s="187"/>
      <c r="P1" s="187">
        <f>IF(AND(SkipWeekends, WEEKDAY(M1)=6),M1+3, M1+1)</f>
        <v>41797</v>
      </c>
      <c r="Q1" s="187"/>
      <c r="R1" s="187"/>
      <c r="S1" s="187">
        <f>IF(AND(SkipWeekends, WEEKDAY(P1)=6),P1+3, P1+1)</f>
        <v>41798</v>
      </c>
      <c r="T1" s="187"/>
      <c r="U1" s="187"/>
      <c r="V1" s="187">
        <f>IF(AND(SkipWeekends, WEEKDAY(S1)=6),S1+3, S1+1)</f>
        <v>41799</v>
      </c>
      <c r="W1" s="187"/>
      <c r="X1" s="187"/>
      <c r="Y1" s="187">
        <f>IF(AND(SkipWeekends, WEEKDAY(V1)=6),V1+3, V1+1)</f>
        <v>41800</v>
      </c>
      <c r="Z1" s="187"/>
      <c r="AA1" s="187"/>
      <c r="AB1" s="187">
        <f>IF(AND(SkipWeekends, WEEKDAY(Y1)=6),Y1+3, Y1+1)</f>
        <v>41801</v>
      </c>
      <c r="AC1" s="187"/>
      <c r="AD1" s="187"/>
      <c r="AE1" s="187">
        <f>IF(AND(SkipWeekends, WEEKDAY(AB1)=6),AB1+3, AB1+1)</f>
        <v>41802</v>
      </c>
      <c r="AF1" s="187"/>
      <c r="AG1" s="187"/>
      <c r="AH1" s="187">
        <f>IF(AND(SkipWeekends, WEEKDAY(AE1)=6),AE1+3, AE1+1)</f>
        <v>41803</v>
      </c>
      <c r="AI1" s="187"/>
      <c r="AJ1" s="187"/>
      <c r="AK1" s="187">
        <f>IF(AND(SkipWeekends, WEEKDAY(AH1)=6),AH1+3, AH1+1)</f>
        <v>41804</v>
      </c>
      <c r="AL1" s="187"/>
      <c r="AM1" s="187"/>
      <c r="AN1" s="187">
        <f>IF(AND(SkipWeekends, WEEKDAY(AK1)=6),AK1+3, AK1+1)</f>
        <v>41805</v>
      </c>
      <c r="AO1" s="187"/>
      <c r="AP1" s="187"/>
      <c r="AQ1" s="187">
        <f>IF(AND(SkipWeekends, WEEKDAY(AN1)=6),AN1+3, AN1+1)</f>
        <v>41806</v>
      </c>
      <c r="AR1" s="187"/>
      <c r="AS1" s="187"/>
      <c r="AT1" s="187">
        <f>IF(AND(SkipWeekends, WEEKDAY(AQ1)=6),AQ1+3, AQ1+1)</f>
        <v>41807</v>
      </c>
      <c r="AU1" s="187"/>
      <c r="AV1" s="187"/>
      <c r="AW1" s="187">
        <f>IF(AND(SkipWeekends, WEEKDAY(AT1)=6),AT1+3, AT1+1)</f>
        <v>41808</v>
      </c>
      <c r="AX1" s="187"/>
      <c r="AY1" s="187"/>
      <c r="AZ1" s="187" t="e">
        <f>IF(AND(SkipWeekends, WEEKDAY(#REF!)=6),#REF!+3,#REF!+ 1)</f>
        <v>#REF!</v>
      </c>
      <c r="BA1" s="187"/>
      <c r="BB1" s="187"/>
      <c r="BC1" s="187" t="e">
        <f>IF(AND(SkipWeekends, WEEKDAY(AZ1)=6),AZ1+3, AZ1+1)</f>
        <v>#REF!</v>
      </c>
      <c r="BD1" s="187"/>
      <c r="BE1" s="187"/>
      <c r="BF1" s="187" t="e">
        <f>IF(AND(SkipWeekends, WEEKDAY(BC1)=6),BC1+3, BC1+1)</f>
        <v>#REF!</v>
      </c>
      <c r="BG1" s="187"/>
      <c r="BH1" s="187"/>
      <c r="BI1" s="187" t="e">
        <f>IF(AND(SkipWeekends, WEEKDAY(BF1)=6),BF1+3, BF1+1)</f>
        <v>#REF!</v>
      </c>
      <c r="BJ1" s="187"/>
      <c r="BK1" s="187"/>
      <c r="BL1" s="187" t="e">
        <f>IF(AND(SkipWeekends, WEEKDAY(BI1)=6),BI1+3, BI1+1)</f>
        <v>#REF!</v>
      </c>
      <c r="BM1" s="187"/>
      <c r="BN1" s="187"/>
      <c r="BO1" s="187" t="e">
        <f>IF(AND(SkipWeekends, WEEKDAY(BL1)=6),BL1+3, BL1+1)</f>
        <v>#REF!</v>
      </c>
      <c r="BP1" s="187"/>
      <c r="BQ1" s="187"/>
      <c r="BR1" s="187" t="e">
        <f>IF(AND(SkipWeekends, WEEKDAY(BO1)=6),BO1+3, BO1+1)</f>
        <v>#REF!</v>
      </c>
      <c r="BS1" s="187"/>
      <c r="BT1" s="187"/>
      <c r="BU1" s="187" t="e">
        <f>IF(AND(SkipWeekends, WEEKDAY(BR1)=6),BR1+3, BR1+1)</f>
        <v>#REF!</v>
      </c>
      <c r="BV1" s="187"/>
      <c r="BW1" s="187"/>
      <c r="BX1" s="187" t="e">
        <f>IF(AND(SkipWeekends, WEEKDAY(BU1)=6),BU1+3, BU1+1)</f>
        <v>#REF!</v>
      </c>
      <c r="BY1" s="187"/>
      <c r="BZ1" s="187"/>
      <c r="CA1" s="187" t="e">
        <f>IF(AND(SkipWeekends, WEEKDAY(BX1)=6),BX1+3, BX1+1)</f>
        <v>#REF!</v>
      </c>
      <c r="CB1" s="187"/>
      <c r="CC1" s="187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57</v>
      </c>
      <c r="L2" s="10"/>
      <c r="M2" s="10"/>
      <c r="N2" s="10" t="s">
        <v>58</v>
      </c>
      <c r="O2" s="10"/>
      <c r="P2" s="10"/>
      <c r="Q2" s="10" t="s">
        <v>59</v>
      </c>
      <c r="R2" s="10"/>
      <c r="S2" s="10"/>
      <c r="T2" s="10" t="s">
        <v>60</v>
      </c>
      <c r="U2" s="10"/>
      <c r="V2" s="10"/>
      <c r="W2" s="10" t="s">
        <v>61</v>
      </c>
      <c r="X2" s="10"/>
      <c r="Y2" s="10"/>
      <c r="Z2" s="10" t="s">
        <v>62</v>
      </c>
      <c r="AA2" s="10"/>
      <c r="AB2" s="10"/>
      <c r="AC2" s="10" t="s">
        <v>63</v>
      </c>
      <c r="AD2" s="10"/>
      <c r="AE2" s="10"/>
      <c r="AF2" s="10" t="s">
        <v>64</v>
      </c>
      <c r="AG2" s="10"/>
      <c r="AH2" s="10"/>
      <c r="AI2" s="10" t="s">
        <v>65</v>
      </c>
      <c r="AJ2" s="10"/>
      <c r="AK2" s="10"/>
      <c r="AL2" s="10" t="s">
        <v>66</v>
      </c>
      <c r="AM2" s="10"/>
      <c r="AN2" s="10"/>
      <c r="AO2" s="10" t="s">
        <v>67</v>
      </c>
      <c r="AP2" s="10"/>
      <c r="AQ2" s="10"/>
      <c r="AR2" s="10" t="s">
        <v>68</v>
      </c>
      <c r="AS2" s="10"/>
      <c r="AT2" s="10"/>
      <c r="AU2" s="10" t="s">
        <v>69</v>
      </c>
      <c r="AV2" s="10"/>
      <c r="AW2" s="10"/>
      <c r="AX2" s="10" t="s">
        <v>70</v>
      </c>
      <c r="AY2" s="10"/>
      <c r="AZ2" s="10"/>
      <c r="BA2" s="10" t="s">
        <v>71</v>
      </c>
      <c r="BB2" s="10"/>
      <c r="BC2" s="10"/>
      <c r="BD2" s="10" t="s">
        <v>72</v>
      </c>
      <c r="BE2" s="10"/>
      <c r="BF2" s="10"/>
      <c r="BG2" s="10" t="s">
        <v>73</v>
      </c>
      <c r="BH2" s="10"/>
      <c r="BI2" s="10"/>
      <c r="BJ2" s="10" t="s">
        <v>74</v>
      </c>
      <c r="BK2" s="10"/>
      <c r="BL2" s="10"/>
      <c r="BM2" s="10" t="s">
        <v>75</v>
      </c>
      <c r="BN2" s="10"/>
      <c r="BO2" s="10"/>
      <c r="BP2" s="10" t="s">
        <v>76</v>
      </c>
      <c r="BQ2" s="10"/>
      <c r="BR2" s="10"/>
      <c r="BS2" s="10" t="s">
        <v>77</v>
      </c>
      <c r="BT2" s="10"/>
      <c r="BU2" s="10"/>
      <c r="BV2" s="10" t="s">
        <v>78</v>
      </c>
      <c r="BW2" s="10"/>
      <c r="BX2" s="10"/>
      <c r="BY2" s="10" t="s">
        <v>79</v>
      </c>
      <c r="BZ2" s="10"/>
      <c r="CA2" s="10"/>
      <c r="CB2" s="10" t="s">
        <v>80</v>
      </c>
      <c r="CC2" s="10"/>
      <c r="CD2" s="5"/>
      <c r="CE2" s="1"/>
    </row>
    <row r="3" spans="1:83" ht="38.25" customHeight="1" x14ac:dyDescent="0.2">
      <c r="A3" s="11" t="s">
        <v>101</v>
      </c>
      <c r="B3" s="11" t="s">
        <v>102</v>
      </c>
      <c r="C3" s="11" t="s">
        <v>81</v>
      </c>
      <c r="D3" s="11" t="s">
        <v>82</v>
      </c>
      <c r="E3" s="1" t="s">
        <v>83</v>
      </c>
      <c r="F3" s="1" t="s">
        <v>92</v>
      </c>
      <c r="G3" s="1" t="s">
        <v>0</v>
      </c>
      <c r="H3" s="12" t="s">
        <v>1</v>
      </c>
      <c r="I3" s="12" t="s">
        <v>84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/>
      <c r="B4" s="16"/>
      <c r="C4" s="16" t="s">
        <v>156</v>
      </c>
      <c r="D4" s="17" t="s">
        <v>145</v>
      </c>
      <c r="E4" s="177" t="s">
        <v>142</v>
      </c>
      <c r="F4" s="18" t="s">
        <v>132</v>
      </c>
      <c r="G4" s="19" t="str">
        <f t="shared" ref="G4:G14" ca="1" si="0">(INDEX(Burndown,ROW(G4)-ROW(G$3),MIN(TODAY()-SprintStart,29)*3+3))</f>
        <v>Pending</v>
      </c>
      <c r="H4" s="20">
        <v>1</v>
      </c>
      <c r="I4" s="21">
        <v>7</v>
      </c>
      <c r="J4" s="22">
        <v>1</v>
      </c>
      <c r="K4" s="22">
        <f t="shared" ref="K4" si="1">MAX(I4-J4, 0)</f>
        <v>6</v>
      </c>
      <c r="L4" s="23" t="str">
        <f>IF(SUMPRODUCT($J$17:K$17,$J4:K4)&lt;0.5, "Pending", IF(K4&lt;0.5, "Complete", "In Progress"))</f>
        <v>In Progress</v>
      </c>
      <c r="M4" s="22">
        <v>0</v>
      </c>
      <c r="N4" s="22">
        <f t="shared" ref="N4" si="2">MAX(K4-M4,0)</f>
        <v>6</v>
      </c>
      <c r="O4" s="23" t="str">
        <f>IF(SUMPRODUCT($J$17:N$17,$J4:N4)&lt;0.5, "Pending", IF(N4&lt;0.5, "Complete", "In Progress"))</f>
        <v>In Progress</v>
      </c>
      <c r="P4" s="22">
        <v>0</v>
      </c>
      <c r="Q4" s="22">
        <f t="shared" ref="Q4" si="3">MAX(N4-P4,0)</f>
        <v>6</v>
      </c>
      <c r="R4" s="23" t="str">
        <f>IF(SUMPRODUCT($J$17:Q$17,$J4:Q4)&lt;0.5, "Pending", IF(Q4&lt;0.5, "Complete", "In Progress"))</f>
        <v>In Progress</v>
      </c>
      <c r="S4" s="22">
        <v>0</v>
      </c>
      <c r="T4" s="22">
        <f t="shared" ref="T4" si="4">MAX(Q4-S4,0)</f>
        <v>6</v>
      </c>
      <c r="U4" s="23" t="str">
        <f>IF(SUMPRODUCT($J$17:T$17,$J4:T4)&lt;0.5, "Pending", IF(T4&lt;0.5, "Complete", "In Progress"))</f>
        <v>In Progress</v>
      </c>
      <c r="V4" s="22">
        <v>0</v>
      </c>
      <c r="W4" s="22">
        <f t="shared" ref="W4" si="5">MAX(T4-V4,0)</f>
        <v>6</v>
      </c>
      <c r="X4" s="23" t="str">
        <f>IF(SUMPRODUCT($J$17:W$17,$J4:W4)&lt;0.5, "Pending", IF(W4&lt;0.5, "Complete", "In Progress"))</f>
        <v>In Progress</v>
      </c>
      <c r="Y4" s="22">
        <v>0</v>
      </c>
      <c r="Z4" s="22">
        <f t="shared" ref="Z4" si="6">MAX(W4-Y4,0)</f>
        <v>6</v>
      </c>
      <c r="AA4" s="23" t="str">
        <f>IF(SUMPRODUCT($J$17:Z$17,$J4:Z4)&lt;0.5, "Pending", IF(Z4&lt;0.5, "Complete", "In Progress"))</f>
        <v>In Progress</v>
      </c>
      <c r="AB4" s="22">
        <v>0</v>
      </c>
      <c r="AC4" s="22">
        <f t="shared" ref="AC4" si="7">MAX(Z4-AB4,0)</f>
        <v>6</v>
      </c>
      <c r="AD4" s="23" t="str">
        <f>IF(SUMPRODUCT($J$17:AC$17,$J4:AC4)&lt;0.5, "Pending", IF(AC4&lt;0.5, "Complete", "In Progress"))</f>
        <v>In Progress</v>
      </c>
      <c r="AE4" s="22">
        <v>0</v>
      </c>
      <c r="AF4" s="22">
        <f t="shared" ref="AF4" si="8">MAX(AC4-AE4,0)</f>
        <v>6</v>
      </c>
      <c r="AG4" s="23" t="str">
        <f>IF(SUMPRODUCT($J$17:AF$17,$J4:AF4)&lt;0.5, "Pending", IF(AF4&lt;0.5, "Complete", "In Progress"))</f>
        <v>In Progress</v>
      </c>
      <c r="AH4" s="22">
        <v>0</v>
      </c>
      <c r="AI4" s="22">
        <f t="shared" ref="AI4" si="9">MAX(AF4-AH4,0)</f>
        <v>6</v>
      </c>
      <c r="AJ4" s="23" t="str">
        <f>IF(SUMPRODUCT($J$17:AI$17,$J4:AI4)&lt;0.5, "Pending", IF(AI4&lt;0.5, "Complete", "In Progress"))</f>
        <v>In Progress</v>
      </c>
      <c r="AK4" s="22">
        <v>0</v>
      </c>
      <c r="AL4" s="22">
        <f t="shared" ref="AL4" si="10">MAX(AI4-AK4,0)</f>
        <v>6</v>
      </c>
      <c r="AM4" s="23" t="str">
        <f>IF(SUMPRODUCT($J$17:AL$17,$J4:AL4)&lt;0.5, "Pending", IF(AL4&lt;0.5, "Complete", "In Progress"))</f>
        <v>In Progress</v>
      </c>
      <c r="AN4" s="22">
        <v>0</v>
      </c>
      <c r="AO4" s="22">
        <f t="shared" ref="AO4" si="11">MAX(AL4-AN4,0)</f>
        <v>6</v>
      </c>
      <c r="AP4" s="23" t="str">
        <f>IF(SUMPRODUCT($J$17:AO$17,$J4:AO4)&lt;0.5, "Pending", IF(AO4&lt;0.5, "Complete", "In Progress"))</f>
        <v>In Progress</v>
      </c>
      <c r="AQ4" s="22">
        <v>0</v>
      </c>
      <c r="AR4" s="22">
        <f t="shared" ref="AR4" si="12">MAX(AO4-AQ4,0)</f>
        <v>6</v>
      </c>
      <c r="AS4" s="23" t="str">
        <f>IF(SUMPRODUCT($J$17:AR$17,$J4:AR4)&lt;0.5, "Pending", IF(AR4&lt;0.5, "Complete", "In Progress"))</f>
        <v>In Progress</v>
      </c>
      <c r="AT4" s="22">
        <v>0</v>
      </c>
      <c r="AU4" s="22">
        <f t="shared" ref="AU4" si="13">MAX(AR4-AT4,0)</f>
        <v>6</v>
      </c>
      <c r="AV4" s="23" t="str">
        <f>IF(SUMPRODUCT($J$17:AU$17,$J4:AU4)&lt;0.5, "Pending", IF(AU4&lt;0.5, "Complete", "In Progress"))</f>
        <v>In Progress</v>
      </c>
      <c r="AW4" s="22">
        <v>3</v>
      </c>
      <c r="AX4" s="22">
        <f t="shared" ref="AX4" si="14">MAX(AU4-AW4,0)</f>
        <v>3</v>
      </c>
      <c r="AY4" s="23" t="str">
        <f>IF(SUMPRODUCT($J$17:AX$17,$J4:AX4)&lt;0.5, "Pending", IF(AX4&lt;0.5, "Complete", "In Progress"))</f>
        <v>In Progress</v>
      </c>
      <c r="AZ4" s="22">
        <v>0</v>
      </c>
      <c r="BA4" s="22" t="e">
        <f>MAX(#REF!-AZ4,0)</f>
        <v>#REF!</v>
      </c>
      <c r="BB4" s="23" t="e">
        <f>IF(SUMPRODUCT($J$17:BA$17,$J4:BA4)&lt;0.5,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IF(SUMPRODUCT($J$17:BD$17,$J4:BD4)&lt;0.5,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IF(SUMPRODUCT($J$17:BG$17,$J4:BG4)&lt;0.5,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IF(SUMPRODUCT($J$17:BJ$17,$J4:BJ4)&lt;0.5,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IF(SUMPRODUCT($J$17:BM$17,$J4:BM4)&lt;0.5,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IF(SUMPRODUCT($J$17:BP$17,$J4:BP4)&lt;0.5,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IF(SUMPRODUCT($J$17:BS$17,$J4:BS4)&lt;0.5,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IF(SUMPRODUCT($J$17:BV$17,$J4:BV4)&lt;0.5,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IF(SUMPRODUCT($J$17:BY$17,$J4:BY4)&lt;0.5,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IF(SUMPRODUCT($J$17:CB$17,$J4:CB4)&lt;0.5, "Pending", IF(CB4&lt;0.5, "Complete", "In Progress"))</f>
        <v>#REF!</v>
      </c>
      <c r="CD4" s="24"/>
      <c r="CE4" s="25">
        <f>SUMPRODUCT($H$17:AY$17,$H4:AY4)</f>
        <v>4</v>
      </c>
    </row>
    <row r="5" spans="1:83" x14ac:dyDescent="0.2">
      <c r="A5" s="16"/>
      <c r="B5" s="16"/>
      <c r="C5" s="16" t="s">
        <v>156</v>
      </c>
      <c r="D5" s="17" t="s">
        <v>146</v>
      </c>
      <c r="E5" s="177" t="s">
        <v>143</v>
      </c>
      <c r="F5" s="18" t="s">
        <v>132</v>
      </c>
      <c r="G5" s="19" t="str">
        <f t="shared" ca="1" si="0"/>
        <v>Pending</v>
      </c>
      <c r="H5" s="20">
        <v>1</v>
      </c>
      <c r="I5" s="21">
        <v>15</v>
      </c>
      <c r="J5" s="22">
        <v>0</v>
      </c>
      <c r="K5" s="22">
        <f t="shared" ref="K5:K14" si="24">MAX(I5-J5, 0)</f>
        <v>15</v>
      </c>
      <c r="L5" s="23" t="str">
        <f>IF(SUMPRODUCT($J$17:K$17,$J5:K5)&lt;0.5, "Pending", IF(K5&lt;0.5, "Complete", "In Progress"))</f>
        <v>Pending</v>
      </c>
      <c r="M5" s="22">
        <v>0</v>
      </c>
      <c r="N5" s="22">
        <f t="shared" ref="N5" si="25">MAX(K5-M5,0)</f>
        <v>15</v>
      </c>
      <c r="O5" s="23" t="str">
        <f>IF(SUMPRODUCT($J$17:N$17,$J5:N5)&lt;0.5, "Pending", IF(N5&lt;0.5, "Complete", "In Progress"))</f>
        <v>Pending</v>
      </c>
      <c r="P5" s="22">
        <v>0</v>
      </c>
      <c r="Q5" s="22">
        <f t="shared" ref="Q5" si="26">MAX(N5-P5,0)</f>
        <v>15</v>
      </c>
      <c r="R5" s="23" t="str">
        <f>IF(SUMPRODUCT($J$17:Q$17,$J5:Q5)&lt;0.5, "Pending", IF(Q5&lt;0.5, "Complete", "In Progress"))</f>
        <v>Pending</v>
      </c>
      <c r="S5" s="22">
        <v>0</v>
      </c>
      <c r="T5" s="22">
        <f t="shared" ref="T5" si="27">MAX(Q5-S5,0)</f>
        <v>15</v>
      </c>
      <c r="U5" s="23" t="str">
        <f>IF(SUMPRODUCT($J$17:T$17,$J5:T5)&lt;0.5, "Pending", IF(T5&lt;0.5, "Complete", "In Progress"))</f>
        <v>Pending</v>
      </c>
      <c r="V5" s="22">
        <v>0</v>
      </c>
      <c r="W5" s="22">
        <f t="shared" ref="W5" si="28">MAX(T5-V5,0)</f>
        <v>15</v>
      </c>
      <c r="X5" s="23" t="str">
        <f>IF(SUMPRODUCT($J$17:W$17,$J5:W5)&lt;0.5, "Pending", IF(W5&lt;0.5, "Complete", "In Progress"))</f>
        <v>Pending</v>
      </c>
      <c r="Y5" s="22">
        <v>0</v>
      </c>
      <c r="Z5" s="22">
        <f t="shared" ref="Z5" si="29">MAX(W5-Y5,0)</f>
        <v>15</v>
      </c>
      <c r="AA5" s="23" t="str">
        <f>IF(SUMPRODUCT($J$17:Z$17,$J5:Z5)&lt;0.5, "Pending", IF(Z5&lt;0.5, "Complete", "In Progress"))</f>
        <v>Pending</v>
      </c>
      <c r="AB5" s="22">
        <v>0</v>
      </c>
      <c r="AC5" s="22">
        <f t="shared" ref="AC5" si="30">MAX(Z5-AB5,0)</f>
        <v>15</v>
      </c>
      <c r="AD5" s="23" t="str">
        <f>IF(SUMPRODUCT($J$17:AC$17,$J5:AC5)&lt;0.5, "Pending", IF(AC5&lt;0.5, "Complete", "In Progress"))</f>
        <v>Pending</v>
      </c>
      <c r="AE5" s="22">
        <v>0</v>
      </c>
      <c r="AF5" s="22">
        <f t="shared" ref="AF5" si="31">MAX(AC5-AE5,0)</f>
        <v>15</v>
      </c>
      <c r="AG5" s="23" t="str">
        <f>IF(SUMPRODUCT($J$17:AF$17,$J5:AF5)&lt;0.5, "Pending", IF(AF5&lt;0.5, "Complete", "In Progress"))</f>
        <v>Pending</v>
      </c>
      <c r="AH5" s="22">
        <v>0</v>
      </c>
      <c r="AI5" s="22">
        <f t="shared" ref="AI5" si="32">MAX(AF5-AH5,0)</f>
        <v>15</v>
      </c>
      <c r="AJ5" s="23" t="str">
        <f>IF(SUMPRODUCT($J$17:AI$17,$J5:AI5)&lt;0.5, "Pending", IF(AI5&lt;0.5, "Complete", "In Progress"))</f>
        <v>Pending</v>
      </c>
      <c r="AK5" s="22">
        <v>0</v>
      </c>
      <c r="AL5" s="22">
        <f t="shared" ref="AL5" si="33">MAX(AI5-AK5,0)</f>
        <v>15</v>
      </c>
      <c r="AM5" s="23" t="str">
        <f>IF(SUMPRODUCT($J$17:AL$17,$J5:AL5)&lt;0.5, "Pending", IF(AL5&lt;0.5, "Complete", "In Progress"))</f>
        <v>Pending</v>
      </c>
      <c r="AN5" s="22">
        <v>0</v>
      </c>
      <c r="AO5" s="22">
        <f t="shared" ref="AO5" si="34">MAX(AL5-AN5,0)</f>
        <v>15</v>
      </c>
      <c r="AP5" s="23" t="str">
        <f>IF(SUMPRODUCT($J$17:AO$17,$J5:AO5)&lt;0.5, "Pending", IF(AO5&lt;0.5, "Complete", "In Progress"))</f>
        <v>Pending</v>
      </c>
      <c r="AQ5" s="22">
        <v>0</v>
      </c>
      <c r="AR5" s="22">
        <f t="shared" ref="AR5" si="35">MAX(AO5-AQ5,0)</f>
        <v>15</v>
      </c>
      <c r="AS5" s="23" t="str">
        <f>IF(SUMPRODUCT($J$17:AR$17,$J5:AR5)&lt;0.5, "Pending", IF(AR5&lt;0.5, "Complete", "In Progress"))</f>
        <v>Pending</v>
      </c>
      <c r="AT5" s="22">
        <v>0</v>
      </c>
      <c r="AU5" s="22">
        <f t="shared" ref="AU5" si="36">MAX(AR5-AT5,0)</f>
        <v>15</v>
      </c>
      <c r="AV5" s="23" t="str">
        <f>IF(SUMPRODUCT($J$17:AU$17,$J5:AU5)&lt;0.5, "Pending", IF(AU5&lt;0.5, "Complete", "In Progress"))</f>
        <v>Pending</v>
      </c>
      <c r="AW5" s="22">
        <v>0</v>
      </c>
      <c r="AX5" s="22">
        <f t="shared" ref="AX5" si="37">MAX(AU5-AW5,0)</f>
        <v>15</v>
      </c>
      <c r="AY5" s="23" t="str">
        <f>IF(SUMPRODUCT($J$17:AX$17,$J5:AX5)&lt;0.5,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IF(SUMPRODUCT($J$17:BA$17,$J5:BA5)&lt;0.5, "Pending", IF(BA5&lt;0.5, "Complete", "In Progress"))</f>
        <v>#REF!</v>
      </c>
      <c r="BC5" s="22">
        <v>0</v>
      </c>
      <c r="BD5" s="22" t="e">
        <f t="shared" ref="BD5" si="38">MAX(BA5-BC5,0)</f>
        <v>#REF!</v>
      </c>
      <c r="BE5" s="23" t="e">
        <f>IF(SUMPRODUCT($J$17:BD$17,$J5:BD5)&lt;0.5, "Pending", IF(BD5&lt;0.5, "Complete", "In Progress"))</f>
        <v>#REF!</v>
      </c>
      <c r="BF5" s="22">
        <v>0</v>
      </c>
      <c r="BG5" s="22" t="e">
        <f t="shared" ref="BG5" si="39">MAX(BD5-BF5,0)</f>
        <v>#REF!</v>
      </c>
      <c r="BH5" s="23" t="e">
        <f>IF(SUMPRODUCT($J$17:BG$17,$J5:BG5)&lt;0.5, "Pending", IF(BG5&lt;0.5, "Complete", "In Progress"))</f>
        <v>#REF!</v>
      </c>
      <c r="BI5" s="22">
        <v>0</v>
      </c>
      <c r="BJ5" s="22" t="e">
        <f t="shared" ref="BJ5" si="40">MAX(BG5-BI5,0)</f>
        <v>#REF!</v>
      </c>
      <c r="BK5" s="23" t="e">
        <f>IF(SUMPRODUCT($J$17:BJ$17,$J5:BJ5)&lt;0.5, "Pending", IF(BJ5&lt;0.5, "Complete", "In Progress"))</f>
        <v>#REF!</v>
      </c>
      <c r="BL5" s="22">
        <v>0</v>
      </c>
      <c r="BM5" s="22" t="e">
        <f t="shared" ref="BM5" si="41">MAX(BJ5-BL5,0)</f>
        <v>#REF!</v>
      </c>
      <c r="BN5" s="23" t="e">
        <f>IF(SUMPRODUCT($J$17:BM$17,$J5:BM5)&lt;0.5, "Pending", IF(BM5&lt;0.5, "Complete", "In Progress"))</f>
        <v>#REF!</v>
      </c>
      <c r="BO5" s="22">
        <v>0</v>
      </c>
      <c r="BP5" s="22" t="e">
        <f t="shared" ref="BP5" si="42">MAX(BM5-BO5,0)</f>
        <v>#REF!</v>
      </c>
      <c r="BQ5" s="23" t="e">
        <f>IF(SUMPRODUCT($J$17:BP$17,$J5:BP5)&lt;0.5, "Pending", IF(BP5&lt;0.5, "Complete", "In Progress"))</f>
        <v>#REF!</v>
      </c>
      <c r="BR5" s="22">
        <v>0</v>
      </c>
      <c r="BS5" s="22" t="e">
        <f t="shared" ref="BS5" si="43">MAX(BP5-BR5,0)</f>
        <v>#REF!</v>
      </c>
      <c r="BT5" s="23" t="e">
        <f>IF(SUMPRODUCT($J$17:BS$17,$J5:BS5)&lt;0.5, "Pending", IF(BS5&lt;0.5, "Complete", "In Progress"))</f>
        <v>#REF!</v>
      </c>
      <c r="BU5" s="22">
        <v>0</v>
      </c>
      <c r="BV5" s="22" t="e">
        <f t="shared" ref="BV5" si="44">MAX(BS5-BU5,0)</f>
        <v>#REF!</v>
      </c>
      <c r="BW5" s="23" t="e">
        <f>IF(SUMPRODUCT($J$17:BV$17,$J5:BV5)&lt;0.5, "Pending", IF(BV5&lt;0.5, "Complete", "In Progress"))</f>
        <v>#REF!</v>
      </c>
      <c r="BX5" s="22">
        <v>0</v>
      </c>
      <c r="BY5" s="22" t="e">
        <f t="shared" ref="BY5" si="45">MAX(BV5-BX5,0)</f>
        <v>#REF!</v>
      </c>
      <c r="BZ5" s="23" t="e">
        <f>IF(SUMPRODUCT($J$17:BY$17,$J5:BY5)&lt;0.5, "Pending", IF(BY5&lt;0.5, "Complete", "In Progress"))</f>
        <v>#REF!</v>
      </c>
      <c r="CA5" s="22">
        <v>0</v>
      </c>
      <c r="CB5" s="22" t="e">
        <f t="shared" ref="CB5" si="46">MAX(BY5-CA5,0)</f>
        <v>#REF!</v>
      </c>
      <c r="CC5" s="23" t="e">
        <f>IF(SUMPRODUCT($J$17:CB$17,$J5:CB5)&lt;0.5, "Pending", IF(CB5&lt;0.5, "Complete", "In Progress"))</f>
        <v>#REF!</v>
      </c>
      <c r="CD5" s="24"/>
      <c r="CE5" s="25">
        <f>SUMPRODUCT($H$17:AY$17,$H5:AY5)</f>
        <v>0</v>
      </c>
    </row>
    <row r="6" spans="1:83" x14ac:dyDescent="0.2">
      <c r="A6" s="16"/>
      <c r="B6" s="16"/>
      <c r="C6" s="16" t="s">
        <v>156</v>
      </c>
      <c r="D6" s="17" t="s">
        <v>147</v>
      </c>
      <c r="E6" s="177" t="s">
        <v>144</v>
      </c>
      <c r="F6" s="18" t="s">
        <v>132</v>
      </c>
      <c r="G6" s="19" t="str">
        <f t="shared" ca="1" si="0"/>
        <v>Pending</v>
      </c>
      <c r="H6" s="20">
        <v>1</v>
      </c>
      <c r="I6" s="21">
        <v>20</v>
      </c>
      <c r="J6" s="22">
        <v>0</v>
      </c>
      <c r="K6" s="22">
        <f t="shared" si="24"/>
        <v>20</v>
      </c>
      <c r="L6" s="23" t="str">
        <f>IF(SUMPRODUCT($J$17:K$17,$J6:K6)&lt;0.5, "Pending", IF(K6&lt;0.5, "Complete", "In Progress"))</f>
        <v>Pending</v>
      </c>
      <c r="M6" s="22">
        <v>0</v>
      </c>
      <c r="N6" s="22">
        <f t="shared" ref="N6:N14" si="47">MAX(K6-M6,0)</f>
        <v>20</v>
      </c>
      <c r="O6" s="23" t="str">
        <f>IF(SUMPRODUCT($J$17:N$17,$J6:N6)&lt;0.5, "Pending", IF(N6&lt;0.5, "Complete", "In Progress"))</f>
        <v>Pending</v>
      </c>
      <c r="P6" s="22">
        <v>0</v>
      </c>
      <c r="Q6" s="22">
        <f t="shared" ref="Q6:Q14" si="48">MAX(N6-P6,0)</f>
        <v>20</v>
      </c>
      <c r="R6" s="23" t="str">
        <f>IF(SUMPRODUCT($J$17:Q$17,$J6:Q6)&lt;0.5, "Pending", IF(Q6&lt;0.5, "Complete", "In Progress"))</f>
        <v>Pending</v>
      </c>
      <c r="S6" s="22">
        <v>0</v>
      </c>
      <c r="T6" s="22">
        <f t="shared" ref="T6:T14" si="49">MAX(Q6-S6,0)</f>
        <v>20</v>
      </c>
      <c r="U6" s="23" t="str">
        <f>IF(SUMPRODUCT($J$17:T$17,$J6:T6)&lt;0.5, "Pending", IF(T6&lt;0.5, "Complete", "In Progress"))</f>
        <v>Pending</v>
      </c>
      <c r="V6" s="22">
        <v>0</v>
      </c>
      <c r="W6" s="22">
        <f t="shared" ref="W6:W14" si="50">MAX(T6-V6,0)</f>
        <v>20</v>
      </c>
      <c r="X6" s="23" t="str">
        <f>IF(SUMPRODUCT($J$17:W$17,$J6:W6)&lt;0.5, "Pending", IF(W6&lt;0.5, "Complete", "In Progress"))</f>
        <v>Pending</v>
      </c>
      <c r="Y6" s="22">
        <v>0</v>
      </c>
      <c r="Z6" s="22">
        <f t="shared" ref="Z6:Z14" si="51">MAX(W6-Y6,0)</f>
        <v>20</v>
      </c>
      <c r="AA6" s="23" t="str">
        <f>IF(SUMPRODUCT($J$17:Z$17,$J6:Z6)&lt;0.5, "Pending", IF(Z6&lt;0.5, "Complete", "In Progress"))</f>
        <v>Pending</v>
      </c>
      <c r="AB6" s="22">
        <v>0</v>
      </c>
      <c r="AC6" s="22">
        <f t="shared" ref="AC6:AC14" si="52">MAX(Z6-AB6,0)</f>
        <v>20</v>
      </c>
      <c r="AD6" s="23" t="str">
        <f>IF(SUMPRODUCT($J$17:AC$17,$J6:AC6)&lt;0.5, "Pending", IF(AC6&lt;0.5, "Complete", "In Progress"))</f>
        <v>Pending</v>
      </c>
      <c r="AE6" s="22">
        <v>0</v>
      </c>
      <c r="AF6" s="22">
        <f t="shared" ref="AF6:AF14" si="53">MAX(AC6-AE6,0)</f>
        <v>20</v>
      </c>
      <c r="AG6" s="23" t="str">
        <f>IF(SUMPRODUCT($J$17:AF$17,$J6:AF6)&lt;0.5, "Pending", IF(AF6&lt;0.5, "Complete", "In Progress"))</f>
        <v>Pending</v>
      </c>
      <c r="AH6" s="22">
        <v>0</v>
      </c>
      <c r="AI6" s="22">
        <f t="shared" ref="AI6:AI14" si="54">MAX(AF6-AH6,0)</f>
        <v>20</v>
      </c>
      <c r="AJ6" s="23" t="str">
        <f>IF(SUMPRODUCT($J$17:AI$17,$J6:AI6)&lt;0.5, "Pending", IF(AI6&lt;0.5, "Complete", "In Progress"))</f>
        <v>Pending</v>
      </c>
      <c r="AK6" s="22">
        <v>0</v>
      </c>
      <c r="AL6" s="22">
        <f t="shared" ref="AL6:AL14" si="55">MAX(AI6-AK6,0)</f>
        <v>20</v>
      </c>
      <c r="AM6" s="23" t="str">
        <f>IF(SUMPRODUCT($J$17:AL$17,$J6:AL6)&lt;0.5, "Pending", IF(AL6&lt;0.5, "Complete", "In Progress"))</f>
        <v>Pending</v>
      </c>
      <c r="AN6" s="22">
        <v>0</v>
      </c>
      <c r="AO6" s="22">
        <f t="shared" ref="AO6:AO14" si="56">MAX(AL6-AN6,0)</f>
        <v>20</v>
      </c>
      <c r="AP6" s="23" t="str">
        <f>IF(SUMPRODUCT($J$17:AO$17,$J6:AO6)&lt;0.5, "Pending", IF(AO6&lt;0.5, "Complete", "In Progress"))</f>
        <v>Pending</v>
      </c>
      <c r="AQ6" s="22">
        <v>0</v>
      </c>
      <c r="AR6" s="22">
        <f t="shared" ref="AR6:AR14" si="57">MAX(AO6-AQ6,0)</f>
        <v>20</v>
      </c>
      <c r="AS6" s="23" t="str">
        <f>IF(SUMPRODUCT($J$17:AR$17,$J6:AR6)&lt;0.5, "Pending", IF(AR6&lt;0.5, "Complete", "In Progress"))</f>
        <v>Pending</v>
      </c>
      <c r="AT6" s="22">
        <v>0</v>
      </c>
      <c r="AU6" s="22">
        <f t="shared" ref="AU6:AU14" si="58">MAX(AR6-AT6,0)</f>
        <v>20</v>
      </c>
      <c r="AV6" s="23" t="str">
        <f>IF(SUMPRODUCT($J$17:AU$17,$J6:AU6)&lt;0.5, "Pending", IF(AU6&lt;0.5, "Complete", "In Progress"))</f>
        <v>Pending</v>
      </c>
      <c r="AW6" s="22">
        <v>0</v>
      </c>
      <c r="AX6" s="22">
        <f t="shared" ref="AX6:AX14" si="59">MAX(AU6-AW6,0)</f>
        <v>20</v>
      </c>
      <c r="AY6" s="23" t="str">
        <f>IF(SUMPRODUCT($J$17:AX$17,$J6:AX6)&lt;0.5,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IF(SUMPRODUCT($J$17:BA$17,$J6:BA6)&lt;0.5, "Pending", IF(BA6&lt;0.5, "Complete", "In Progress"))</f>
        <v>#REF!</v>
      </c>
      <c r="BC6" s="22">
        <v>0</v>
      </c>
      <c r="BD6" s="22" t="e">
        <f t="shared" ref="BD6:BD14" si="60">MAX(BA6-BC6,0)</f>
        <v>#REF!</v>
      </c>
      <c r="BE6" s="23" t="e">
        <f>IF(SUMPRODUCT($J$17:BD$17,$J6:BD6)&lt;0.5, "Pending", IF(BD6&lt;0.5, "Complete", "In Progress"))</f>
        <v>#REF!</v>
      </c>
      <c r="BF6" s="22">
        <v>0</v>
      </c>
      <c r="BG6" s="22" t="e">
        <f t="shared" ref="BG6:BG14" si="61">MAX(BD6-BF6,0)</f>
        <v>#REF!</v>
      </c>
      <c r="BH6" s="23" t="e">
        <f>IF(SUMPRODUCT($J$17:BG$17,$J6:BG6)&lt;0.5, "Pending", IF(BG6&lt;0.5, "Complete", "In Progress"))</f>
        <v>#REF!</v>
      </c>
      <c r="BI6" s="22">
        <v>0</v>
      </c>
      <c r="BJ6" s="22" t="e">
        <f t="shared" ref="BJ6:BJ14" si="62">MAX(BG6-BI6,0)</f>
        <v>#REF!</v>
      </c>
      <c r="BK6" s="23" t="e">
        <f>IF(SUMPRODUCT($J$17:BJ$17,$J6:BJ6)&lt;0.5, "Pending", IF(BJ6&lt;0.5, "Complete", "In Progress"))</f>
        <v>#REF!</v>
      </c>
      <c r="BL6" s="22">
        <v>0</v>
      </c>
      <c r="BM6" s="22" t="e">
        <f t="shared" ref="BM6:BM14" si="63">MAX(BJ6-BL6,0)</f>
        <v>#REF!</v>
      </c>
      <c r="BN6" s="23" t="e">
        <f>IF(SUMPRODUCT($J$17:BM$17,$J6:BM6)&lt;0.5, "Pending", IF(BM6&lt;0.5, "Complete", "In Progress"))</f>
        <v>#REF!</v>
      </c>
      <c r="BO6" s="22">
        <v>0</v>
      </c>
      <c r="BP6" s="22" t="e">
        <f t="shared" ref="BP6:BP14" si="64">MAX(BM6-BO6,0)</f>
        <v>#REF!</v>
      </c>
      <c r="BQ6" s="23" t="e">
        <f>IF(SUMPRODUCT($J$17:BP$17,$J6:BP6)&lt;0.5, "Pending", IF(BP6&lt;0.5, "Complete", "In Progress"))</f>
        <v>#REF!</v>
      </c>
      <c r="BR6" s="22">
        <v>0</v>
      </c>
      <c r="BS6" s="22" t="e">
        <f t="shared" ref="BS6:BS14" si="65">MAX(BP6-BR6,0)</f>
        <v>#REF!</v>
      </c>
      <c r="BT6" s="23" t="e">
        <f>IF(SUMPRODUCT($J$17:BS$17,$J6:BS6)&lt;0.5, "Pending", IF(BS6&lt;0.5, "Complete", "In Progress"))</f>
        <v>#REF!</v>
      </c>
      <c r="BU6" s="22">
        <v>0</v>
      </c>
      <c r="BV6" s="22" t="e">
        <f t="shared" ref="BV6:BV14" si="66">MAX(BS6-BU6,0)</f>
        <v>#REF!</v>
      </c>
      <c r="BW6" s="23" t="e">
        <f>IF(SUMPRODUCT($J$17:BV$17,$J6:BV6)&lt;0.5, "Pending", IF(BV6&lt;0.5, "Complete", "In Progress"))</f>
        <v>#REF!</v>
      </c>
      <c r="BX6" s="22">
        <v>0</v>
      </c>
      <c r="BY6" s="22" t="e">
        <f t="shared" ref="BY6:BY14" si="67">MAX(BV6-BX6,0)</f>
        <v>#REF!</v>
      </c>
      <c r="BZ6" s="23" t="e">
        <f>IF(SUMPRODUCT($J$17:BY$17,$J6:BY6)&lt;0.5, "Pending", IF(BY6&lt;0.5, "Complete", "In Progress"))</f>
        <v>#REF!</v>
      </c>
      <c r="CA6" s="22">
        <v>0</v>
      </c>
      <c r="CB6" s="22" t="e">
        <f t="shared" ref="CB6:CB14" si="68">MAX(BY6-CA6,0)</f>
        <v>#REF!</v>
      </c>
      <c r="CC6" s="23" t="e">
        <f>IF(SUMPRODUCT($J$17:CB$17,$J6:CB6)&lt;0.5, "Pending", IF(CB6&lt;0.5, "Complete", "In Progress"))</f>
        <v>#REF!</v>
      </c>
      <c r="CD6" s="24"/>
      <c r="CE6" s="25">
        <f>SUMPRODUCT($H$17:AY$17,$H6:AY6)</f>
        <v>0</v>
      </c>
    </row>
    <row r="7" spans="1:83" x14ac:dyDescent="0.2">
      <c r="A7" s="16"/>
      <c r="B7" s="16"/>
      <c r="C7" s="16" t="s">
        <v>156</v>
      </c>
      <c r="D7" s="17" t="s">
        <v>148</v>
      </c>
      <c r="E7" s="177" t="s">
        <v>144</v>
      </c>
      <c r="F7" s="18" t="s">
        <v>132</v>
      </c>
      <c r="G7" s="19" t="str">
        <f t="shared" ca="1" si="0"/>
        <v>Pending</v>
      </c>
      <c r="H7" s="20">
        <v>1</v>
      </c>
      <c r="I7" s="21">
        <v>3</v>
      </c>
      <c r="J7" s="22">
        <v>0</v>
      </c>
      <c r="K7" s="22">
        <f t="shared" si="24"/>
        <v>3</v>
      </c>
      <c r="L7" s="23" t="str">
        <f>IF(SUMPRODUCT($J$17:K$17,$J7:K7)&lt;0.5, "Pending", IF(K7&lt;0.5, "Complete", "In Progress"))</f>
        <v>Pending</v>
      </c>
      <c r="M7" s="22">
        <v>0</v>
      </c>
      <c r="N7" s="22">
        <f t="shared" si="47"/>
        <v>3</v>
      </c>
      <c r="O7" s="23" t="str">
        <f>IF(SUMPRODUCT($J$17:N$17,$J7:N7)&lt;0.5, "Pending", IF(N7&lt;0.5, "Complete", "In Progress"))</f>
        <v>Pending</v>
      </c>
      <c r="P7" s="22">
        <v>0</v>
      </c>
      <c r="Q7" s="22">
        <f t="shared" si="48"/>
        <v>3</v>
      </c>
      <c r="R7" s="23" t="str">
        <f>IF(SUMPRODUCT($J$17:Q$17,$J7:Q7)&lt;0.5, "Pending", IF(Q7&lt;0.5, "Complete", "In Progress"))</f>
        <v>Pending</v>
      </c>
      <c r="S7" s="22">
        <v>0</v>
      </c>
      <c r="T7" s="22">
        <f t="shared" si="49"/>
        <v>3</v>
      </c>
      <c r="U7" s="23" t="str">
        <f>IF(SUMPRODUCT($J$17:T$17,$J7:T7)&lt;0.5, "Pending", IF(T7&lt;0.5, "Complete", "In Progress"))</f>
        <v>Pending</v>
      </c>
      <c r="V7" s="22">
        <v>0</v>
      </c>
      <c r="W7" s="22">
        <f t="shared" si="50"/>
        <v>3</v>
      </c>
      <c r="X7" s="23" t="str">
        <f>IF(SUMPRODUCT($J$17:W$17,$J7:W7)&lt;0.5, "Pending", IF(W7&lt;0.5, "Complete", "In Progress"))</f>
        <v>Pending</v>
      </c>
      <c r="Y7" s="22">
        <v>0</v>
      </c>
      <c r="Z7" s="22">
        <f t="shared" si="51"/>
        <v>3</v>
      </c>
      <c r="AA7" s="23" t="str">
        <f>IF(SUMPRODUCT($J$17:Z$17,$J7:Z7)&lt;0.5, "Pending", IF(Z7&lt;0.5, "Complete", "In Progress"))</f>
        <v>Pending</v>
      </c>
      <c r="AB7" s="22">
        <v>0</v>
      </c>
      <c r="AC7" s="22">
        <f t="shared" si="52"/>
        <v>3</v>
      </c>
      <c r="AD7" s="23" t="str">
        <f>IF(SUMPRODUCT($J$17:AC$17,$J7:AC7)&lt;0.5, "Pending", IF(AC7&lt;0.5, "Complete", "In Progress"))</f>
        <v>Pending</v>
      </c>
      <c r="AE7" s="22">
        <v>0</v>
      </c>
      <c r="AF7" s="22">
        <f t="shared" si="53"/>
        <v>3</v>
      </c>
      <c r="AG7" s="23" t="str">
        <f>IF(SUMPRODUCT($J$17:AF$17,$J7:AF7)&lt;0.5, "Pending", IF(AF7&lt;0.5, "Complete", "In Progress"))</f>
        <v>Pending</v>
      </c>
      <c r="AH7" s="22">
        <v>0</v>
      </c>
      <c r="AI7" s="22">
        <f t="shared" si="54"/>
        <v>3</v>
      </c>
      <c r="AJ7" s="23" t="str">
        <f>IF(SUMPRODUCT($J$17:AI$17,$J7:AI7)&lt;0.5, "Pending", IF(AI7&lt;0.5, "Complete", "In Progress"))</f>
        <v>Pending</v>
      </c>
      <c r="AK7" s="22">
        <v>0</v>
      </c>
      <c r="AL7" s="22">
        <f t="shared" si="55"/>
        <v>3</v>
      </c>
      <c r="AM7" s="23" t="str">
        <f>IF(SUMPRODUCT($J$17:AL$17,$J7:AL7)&lt;0.5, "Pending", IF(AL7&lt;0.5, "Complete", "In Progress"))</f>
        <v>Pending</v>
      </c>
      <c r="AN7" s="22">
        <v>0</v>
      </c>
      <c r="AO7" s="22">
        <f t="shared" si="56"/>
        <v>3</v>
      </c>
      <c r="AP7" s="23" t="str">
        <f>IF(SUMPRODUCT($J$17:AO$17,$J7:AO7)&lt;0.5, "Pending", IF(AO7&lt;0.5, "Complete", "In Progress"))</f>
        <v>Pending</v>
      </c>
      <c r="AQ7" s="22">
        <v>0</v>
      </c>
      <c r="AR7" s="22">
        <f t="shared" si="57"/>
        <v>3</v>
      </c>
      <c r="AS7" s="23" t="str">
        <f>IF(SUMPRODUCT($J$17:AR$17,$J7:AR7)&lt;0.5, "Pending", IF(AR7&lt;0.5, "Complete", "In Progress"))</f>
        <v>Pending</v>
      </c>
      <c r="AT7" s="22">
        <v>0</v>
      </c>
      <c r="AU7" s="22">
        <f t="shared" si="58"/>
        <v>3</v>
      </c>
      <c r="AV7" s="23" t="str">
        <f>IF(SUMPRODUCT($J$17:AU$17,$J7:AU7)&lt;0.5, "Pending", IF(AU7&lt;0.5, "Complete", "In Progress"))</f>
        <v>Pending</v>
      </c>
      <c r="AW7" s="22">
        <v>0</v>
      </c>
      <c r="AX7" s="22">
        <f t="shared" si="59"/>
        <v>3</v>
      </c>
      <c r="AY7" s="23" t="str">
        <f>IF(SUMPRODUCT($J$17:AX$17,$J7:AX7)&lt;0.5,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IF(SUMPRODUCT($J$17:BA$17,$J7:BA7)&lt;0.5, "Pending", IF(BA7&lt;0.5, "Complete", "In Progress"))</f>
        <v>#REF!</v>
      </c>
      <c r="BC7" s="22">
        <v>0</v>
      </c>
      <c r="BD7" s="22" t="e">
        <f t="shared" si="60"/>
        <v>#REF!</v>
      </c>
      <c r="BE7" s="23" t="e">
        <f>IF(SUMPRODUCT($J$17:BD$17,$J7:BD7)&lt;0.5, "Pending", IF(BD7&lt;0.5, "Complete", "In Progress"))</f>
        <v>#REF!</v>
      </c>
      <c r="BF7" s="22">
        <v>0</v>
      </c>
      <c r="BG7" s="22" t="e">
        <f t="shared" si="61"/>
        <v>#REF!</v>
      </c>
      <c r="BH7" s="23" t="e">
        <f>IF(SUMPRODUCT($J$17:BG$17,$J7:BG7)&lt;0.5, "Pending", IF(BG7&lt;0.5, "Complete", "In Progress"))</f>
        <v>#REF!</v>
      </c>
      <c r="BI7" s="22">
        <v>0</v>
      </c>
      <c r="BJ7" s="22" t="e">
        <f t="shared" si="62"/>
        <v>#REF!</v>
      </c>
      <c r="BK7" s="23" t="e">
        <f>IF(SUMPRODUCT($J$17:BJ$17,$J7:BJ7)&lt;0.5, "Pending", IF(BJ7&lt;0.5, "Complete", "In Progress"))</f>
        <v>#REF!</v>
      </c>
      <c r="BL7" s="22">
        <v>0</v>
      </c>
      <c r="BM7" s="22" t="e">
        <f t="shared" si="63"/>
        <v>#REF!</v>
      </c>
      <c r="BN7" s="23" t="e">
        <f>IF(SUMPRODUCT($J$17:BM$17,$J7:BM7)&lt;0.5, "Pending", IF(BM7&lt;0.5, "Complete", "In Progress"))</f>
        <v>#REF!</v>
      </c>
      <c r="BO7" s="22">
        <v>0</v>
      </c>
      <c r="BP7" s="22" t="e">
        <f t="shared" si="64"/>
        <v>#REF!</v>
      </c>
      <c r="BQ7" s="23" t="e">
        <f>IF(SUMPRODUCT($J$17:BP$17,$J7:BP7)&lt;0.5, "Pending", IF(BP7&lt;0.5, "Complete", "In Progress"))</f>
        <v>#REF!</v>
      </c>
      <c r="BR7" s="22">
        <v>0</v>
      </c>
      <c r="BS7" s="22" t="e">
        <f t="shared" si="65"/>
        <v>#REF!</v>
      </c>
      <c r="BT7" s="23" t="e">
        <f>IF(SUMPRODUCT($J$17:BS$17,$J7:BS7)&lt;0.5, "Pending", IF(BS7&lt;0.5, "Complete", "In Progress"))</f>
        <v>#REF!</v>
      </c>
      <c r="BU7" s="22">
        <v>0</v>
      </c>
      <c r="BV7" s="22" t="e">
        <f t="shared" si="66"/>
        <v>#REF!</v>
      </c>
      <c r="BW7" s="23" t="e">
        <f>IF(SUMPRODUCT($J$17:BV$17,$J7:BV7)&lt;0.5, "Pending", IF(BV7&lt;0.5, "Complete", "In Progress"))</f>
        <v>#REF!</v>
      </c>
      <c r="BX7" s="22">
        <v>0</v>
      </c>
      <c r="BY7" s="22" t="e">
        <f t="shared" si="67"/>
        <v>#REF!</v>
      </c>
      <c r="BZ7" s="23" t="e">
        <f>IF(SUMPRODUCT($J$17:BY$17,$J7:BY7)&lt;0.5, "Pending", IF(BY7&lt;0.5, "Complete", "In Progress"))</f>
        <v>#REF!</v>
      </c>
      <c r="CA7" s="22">
        <v>0</v>
      </c>
      <c r="CB7" s="22" t="e">
        <f t="shared" si="68"/>
        <v>#REF!</v>
      </c>
      <c r="CC7" s="23" t="e">
        <f>IF(SUMPRODUCT($J$17:CB$17,$J7:CB7)&lt;0.5, "Pending", IF(CB7&lt;0.5, "Complete", "In Progress"))</f>
        <v>#REF!</v>
      </c>
      <c r="CD7" s="24"/>
      <c r="CE7" s="25">
        <f>SUMPRODUCT($H$17:AY$17,$H7:AY7)</f>
        <v>0</v>
      </c>
    </row>
    <row r="8" spans="1:83" x14ac:dyDescent="0.2">
      <c r="A8" s="16"/>
      <c r="B8" s="16"/>
      <c r="C8" s="16" t="s">
        <v>157</v>
      </c>
      <c r="D8" s="17" t="s">
        <v>149</v>
      </c>
      <c r="E8" s="177" t="s">
        <v>150</v>
      </c>
      <c r="F8" s="18" t="s">
        <v>132</v>
      </c>
      <c r="G8" s="19" t="str">
        <f t="shared" ca="1" si="0"/>
        <v>Pending</v>
      </c>
      <c r="H8" s="20">
        <v>1</v>
      </c>
      <c r="I8" s="21">
        <v>15</v>
      </c>
      <c r="J8" s="22">
        <v>0</v>
      </c>
      <c r="K8" s="22">
        <f t="shared" si="24"/>
        <v>15</v>
      </c>
      <c r="L8" s="23" t="str">
        <f>IF(SUMPRODUCT($J$17:K$17,$J8:K8)&lt;0.5, "Pending", IF(K8&lt;0.5, "Complete", "In Progress"))</f>
        <v>Pending</v>
      </c>
      <c r="M8" s="22">
        <v>0</v>
      </c>
      <c r="N8" s="22">
        <f t="shared" si="47"/>
        <v>15</v>
      </c>
      <c r="O8" s="23" t="str">
        <f>IF(SUMPRODUCT($J$17:N$17,$J8:N8)&lt;0.5, "Pending", IF(N8&lt;0.5, "Complete", "In Progress"))</f>
        <v>Pending</v>
      </c>
      <c r="P8" s="22">
        <v>0</v>
      </c>
      <c r="Q8" s="22">
        <f t="shared" si="48"/>
        <v>15</v>
      </c>
      <c r="R8" s="23" t="str">
        <f>IF(SUMPRODUCT($J$17:Q$17,$J8:Q8)&lt;0.5, "Pending", IF(Q8&lt;0.5, "Complete", "In Progress"))</f>
        <v>Pending</v>
      </c>
      <c r="S8" s="22">
        <v>0</v>
      </c>
      <c r="T8" s="22">
        <f t="shared" si="49"/>
        <v>15</v>
      </c>
      <c r="U8" s="23" t="str">
        <f>IF(SUMPRODUCT($J$17:T$17,$J8:T8)&lt;0.5, "Pending", IF(T8&lt;0.5, "Complete", "In Progress"))</f>
        <v>Pending</v>
      </c>
      <c r="V8" s="22">
        <v>0</v>
      </c>
      <c r="W8" s="22">
        <f t="shared" si="50"/>
        <v>15</v>
      </c>
      <c r="X8" s="23" t="str">
        <f>IF(SUMPRODUCT($J$17:W$17,$J8:W8)&lt;0.5, "Pending", IF(W8&lt;0.5, "Complete", "In Progress"))</f>
        <v>Pending</v>
      </c>
      <c r="Y8" s="22">
        <v>0</v>
      </c>
      <c r="Z8" s="22">
        <f t="shared" si="51"/>
        <v>15</v>
      </c>
      <c r="AA8" s="23" t="str">
        <f>IF(SUMPRODUCT($J$17:Z$17,$J8:Z8)&lt;0.5, "Pending", IF(Z8&lt;0.5, "Complete", "In Progress"))</f>
        <v>Pending</v>
      </c>
      <c r="AB8" s="22">
        <v>0</v>
      </c>
      <c r="AC8" s="22">
        <f t="shared" si="52"/>
        <v>15</v>
      </c>
      <c r="AD8" s="23" t="str">
        <f>IF(SUMPRODUCT($J$17:AC$17,$J8:AC8)&lt;0.5, "Pending", IF(AC8&lt;0.5, "Complete", "In Progress"))</f>
        <v>Pending</v>
      </c>
      <c r="AE8" s="22">
        <v>0</v>
      </c>
      <c r="AF8" s="22">
        <f t="shared" si="53"/>
        <v>15</v>
      </c>
      <c r="AG8" s="23" t="str">
        <f>IF(SUMPRODUCT($J$17:AF$17,$J8:AF8)&lt;0.5, "Pending", IF(AF8&lt;0.5, "Complete", "In Progress"))</f>
        <v>Pending</v>
      </c>
      <c r="AH8" s="22">
        <v>0</v>
      </c>
      <c r="AI8" s="22">
        <f t="shared" si="54"/>
        <v>15</v>
      </c>
      <c r="AJ8" s="23" t="str">
        <f>IF(SUMPRODUCT($J$17:AI$17,$J8:AI8)&lt;0.5, "Pending", IF(AI8&lt;0.5, "Complete", "In Progress"))</f>
        <v>Pending</v>
      </c>
      <c r="AK8" s="22">
        <v>0</v>
      </c>
      <c r="AL8" s="22">
        <f t="shared" si="55"/>
        <v>15</v>
      </c>
      <c r="AM8" s="23" t="str">
        <f>IF(SUMPRODUCT($J$17:AL$17,$J8:AL8)&lt;0.5, "Pending", IF(AL8&lt;0.5, "Complete", "In Progress"))</f>
        <v>Pending</v>
      </c>
      <c r="AN8" s="22">
        <v>0</v>
      </c>
      <c r="AO8" s="22">
        <f t="shared" si="56"/>
        <v>15</v>
      </c>
      <c r="AP8" s="23" t="str">
        <f>IF(SUMPRODUCT($J$17:AO$17,$J8:AO8)&lt;0.5, "Pending", IF(AO8&lt;0.5, "Complete", "In Progress"))</f>
        <v>Pending</v>
      </c>
      <c r="AQ8" s="22">
        <v>0</v>
      </c>
      <c r="AR8" s="22">
        <f t="shared" si="57"/>
        <v>15</v>
      </c>
      <c r="AS8" s="23" t="str">
        <f>IF(SUMPRODUCT($J$17:AR$17,$J8:AR8)&lt;0.5, "Pending", IF(AR8&lt;0.5, "Complete", "In Progress"))</f>
        <v>Pending</v>
      </c>
      <c r="AT8" s="22">
        <v>1</v>
      </c>
      <c r="AU8" s="22">
        <f t="shared" si="58"/>
        <v>14</v>
      </c>
      <c r="AV8" s="23" t="str">
        <f>IF(SUMPRODUCT($J$17:AU$17,$J8:AU8)&lt;0.5, "Pending", IF(AU8&lt;0.5, "Complete", "In Progress"))</f>
        <v>In Progress</v>
      </c>
      <c r="AW8" s="22">
        <v>1</v>
      </c>
      <c r="AX8" s="22">
        <f t="shared" si="59"/>
        <v>13</v>
      </c>
      <c r="AY8" s="23" t="str">
        <f>IF(SUMPRODUCT($J$17:AX$17,$J8:AX8)&lt;0.5, "Pending", IF(AX8&lt;0.5, "Complete", "In Progress"))</f>
        <v>In Progress</v>
      </c>
      <c r="AZ8" s="22">
        <v>0</v>
      </c>
      <c r="BA8" s="22" t="e">
        <f>MAX(#REF!-AZ8,0)</f>
        <v>#REF!</v>
      </c>
      <c r="BB8" s="23" t="e">
        <f>IF(SUMPRODUCT($J$17:BA$17,$J8:BA8)&lt;0.5, "Pending", IF(BA8&lt;0.5, "Complete", "In Progress"))</f>
        <v>#REF!</v>
      </c>
      <c r="BC8" s="22">
        <v>0</v>
      </c>
      <c r="BD8" s="22" t="e">
        <f t="shared" si="60"/>
        <v>#REF!</v>
      </c>
      <c r="BE8" s="23" t="e">
        <f>IF(SUMPRODUCT($J$17:BD$17,$J8:BD8)&lt;0.5, "Pending", IF(BD8&lt;0.5, "Complete", "In Progress"))</f>
        <v>#REF!</v>
      </c>
      <c r="BF8" s="22">
        <v>0</v>
      </c>
      <c r="BG8" s="22" t="e">
        <f t="shared" si="61"/>
        <v>#REF!</v>
      </c>
      <c r="BH8" s="23" t="e">
        <f>IF(SUMPRODUCT($J$17:BG$17,$J8:BG8)&lt;0.5, "Pending", IF(BG8&lt;0.5, "Complete", "In Progress"))</f>
        <v>#REF!</v>
      </c>
      <c r="BI8" s="22">
        <v>0</v>
      </c>
      <c r="BJ8" s="22" t="e">
        <f t="shared" si="62"/>
        <v>#REF!</v>
      </c>
      <c r="BK8" s="23" t="e">
        <f>IF(SUMPRODUCT($J$17:BJ$17,$J8:BJ8)&lt;0.5, "Pending", IF(BJ8&lt;0.5, "Complete", "In Progress"))</f>
        <v>#REF!</v>
      </c>
      <c r="BL8" s="22">
        <v>0</v>
      </c>
      <c r="BM8" s="22" t="e">
        <f t="shared" si="63"/>
        <v>#REF!</v>
      </c>
      <c r="BN8" s="23" t="e">
        <f>IF(SUMPRODUCT($J$17:BM$17,$J8:BM8)&lt;0.5, "Pending", IF(BM8&lt;0.5, "Complete", "In Progress"))</f>
        <v>#REF!</v>
      </c>
      <c r="BO8" s="22">
        <v>0</v>
      </c>
      <c r="BP8" s="22" t="e">
        <f t="shared" si="64"/>
        <v>#REF!</v>
      </c>
      <c r="BQ8" s="23" t="e">
        <f>IF(SUMPRODUCT($J$17:BP$17,$J8:BP8)&lt;0.5, "Pending", IF(BP8&lt;0.5, "Complete", "In Progress"))</f>
        <v>#REF!</v>
      </c>
      <c r="BR8" s="22">
        <v>0</v>
      </c>
      <c r="BS8" s="22" t="e">
        <f t="shared" si="65"/>
        <v>#REF!</v>
      </c>
      <c r="BT8" s="23" t="e">
        <f>IF(SUMPRODUCT($J$17:BS$17,$J8:BS8)&lt;0.5, "Pending", IF(BS8&lt;0.5, "Complete", "In Progress"))</f>
        <v>#REF!</v>
      </c>
      <c r="BU8" s="22">
        <v>0</v>
      </c>
      <c r="BV8" s="22" t="e">
        <f t="shared" si="66"/>
        <v>#REF!</v>
      </c>
      <c r="BW8" s="23" t="e">
        <f>IF(SUMPRODUCT($J$17:BV$17,$J8:BV8)&lt;0.5, "Pending", IF(BV8&lt;0.5, "Complete", "In Progress"))</f>
        <v>#REF!</v>
      </c>
      <c r="BX8" s="22">
        <v>0</v>
      </c>
      <c r="BY8" s="22" t="e">
        <f t="shared" si="67"/>
        <v>#REF!</v>
      </c>
      <c r="BZ8" s="23" t="e">
        <f>IF(SUMPRODUCT($J$17:BY$17,$J8:BY8)&lt;0.5, "Pending", IF(BY8&lt;0.5, "Complete", "In Progress"))</f>
        <v>#REF!</v>
      </c>
      <c r="CA8" s="22">
        <v>0</v>
      </c>
      <c r="CB8" s="22" t="e">
        <f t="shared" si="68"/>
        <v>#REF!</v>
      </c>
      <c r="CC8" s="23" t="e">
        <f>IF(SUMPRODUCT($J$17:CB$17,$J8:CB8)&lt;0.5, "Pending", IF(CB8&lt;0.5, "Complete", "In Progress"))</f>
        <v>#REF!</v>
      </c>
      <c r="CD8" s="24"/>
      <c r="CE8" s="25">
        <f>SUMPRODUCT($H$17:AY$17,$H8:AY8)</f>
        <v>2</v>
      </c>
    </row>
    <row r="9" spans="1:83" x14ac:dyDescent="0.2">
      <c r="A9" s="16"/>
      <c r="B9" s="16"/>
      <c r="C9" s="16" t="s">
        <v>157</v>
      </c>
      <c r="D9" s="17" t="s">
        <v>151</v>
      </c>
      <c r="E9" s="177" t="s">
        <v>143</v>
      </c>
      <c r="F9" s="18" t="s">
        <v>132</v>
      </c>
      <c r="G9" s="19" t="str">
        <f t="shared" ca="1" si="0"/>
        <v>Pending</v>
      </c>
      <c r="H9" s="20">
        <v>1</v>
      </c>
      <c r="I9" s="21">
        <v>15</v>
      </c>
      <c r="J9" s="22">
        <v>0</v>
      </c>
      <c r="K9" s="22">
        <f t="shared" si="24"/>
        <v>15</v>
      </c>
      <c r="L9" s="23" t="str">
        <f>IF(SUMPRODUCT($J$17:K$17,$J9:K9)&lt;0.5, "Pending", IF(K9&lt;0.5, "Complete", "In Progress"))</f>
        <v>Pending</v>
      </c>
      <c r="M9" s="22">
        <v>0</v>
      </c>
      <c r="N9" s="22">
        <f t="shared" si="47"/>
        <v>15</v>
      </c>
      <c r="O9" s="23" t="str">
        <f>IF(SUMPRODUCT($J$17:N$17,$J9:N9)&lt;0.5, "Pending", IF(N9&lt;0.5, "Complete", "In Progress"))</f>
        <v>Pending</v>
      </c>
      <c r="P9" s="22">
        <v>0</v>
      </c>
      <c r="Q9" s="22">
        <f t="shared" si="48"/>
        <v>15</v>
      </c>
      <c r="R9" s="23" t="str">
        <f>IF(SUMPRODUCT($J$17:Q$17,$J9:Q9)&lt;0.5, "Pending", IF(Q9&lt;0.5, "Complete", "In Progress"))</f>
        <v>Pending</v>
      </c>
      <c r="S9" s="22">
        <v>0</v>
      </c>
      <c r="T9" s="22">
        <f t="shared" si="49"/>
        <v>15</v>
      </c>
      <c r="U9" s="23" t="str">
        <f>IF(SUMPRODUCT($J$17:T$17,$J9:T9)&lt;0.5, "Pending", IF(T9&lt;0.5, "Complete", "In Progress"))</f>
        <v>Pending</v>
      </c>
      <c r="V9" s="22">
        <v>0</v>
      </c>
      <c r="W9" s="22">
        <f t="shared" si="50"/>
        <v>15</v>
      </c>
      <c r="X9" s="23" t="str">
        <f>IF(SUMPRODUCT($J$17:W$17,$J9:W9)&lt;0.5, "Pending", IF(W9&lt;0.5, "Complete", "In Progress"))</f>
        <v>Pending</v>
      </c>
      <c r="Y9" s="22">
        <v>0</v>
      </c>
      <c r="Z9" s="22">
        <f t="shared" si="51"/>
        <v>15</v>
      </c>
      <c r="AA9" s="23" t="str">
        <f>IF(SUMPRODUCT($J$17:Z$17,$J9:Z9)&lt;0.5, "Pending", IF(Z9&lt;0.5, "Complete", "In Progress"))</f>
        <v>Pending</v>
      </c>
      <c r="AB9" s="22">
        <v>0</v>
      </c>
      <c r="AC9" s="22">
        <f t="shared" si="52"/>
        <v>15</v>
      </c>
      <c r="AD9" s="23" t="str">
        <f>IF(SUMPRODUCT($J$17:AC$17,$J9:AC9)&lt;0.5, "Pending", IF(AC9&lt;0.5, "Complete", "In Progress"))</f>
        <v>Pending</v>
      </c>
      <c r="AE9" s="22">
        <v>0</v>
      </c>
      <c r="AF9" s="22">
        <f t="shared" si="53"/>
        <v>15</v>
      </c>
      <c r="AG9" s="23" t="str">
        <f>IF(SUMPRODUCT($J$17:AF$17,$J9:AF9)&lt;0.5, "Pending", IF(AF9&lt;0.5, "Complete", "In Progress"))</f>
        <v>Pending</v>
      </c>
      <c r="AH9" s="22">
        <v>0</v>
      </c>
      <c r="AI9" s="22">
        <f t="shared" si="54"/>
        <v>15</v>
      </c>
      <c r="AJ9" s="23" t="str">
        <f>IF(SUMPRODUCT($J$17:AI$17,$J9:AI9)&lt;0.5, "Pending", IF(AI9&lt;0.5, "Complete", "In Progress"))</f>
        <v>Pending</v>
      </c>
      <c r="AK9" s="22">
        <v>0</v>
      </c>
      <c r="AL9" s="22">
        <f t="shared" si="55"/>
        <v>15</v>
      </c>
      <c r="AM9" s="23" t="str">
        <f>IF(SUMPRODUCT($J$17:AL$17,$J9:AL9)&lt;0.5, "Pending", IF(AL9&lt;0.5, "Complete", "In Progress"))</f>
        <v>Pending</v>
      </c>
      <c r="AN9" s="22">
        <v>0</v>
      </c>
      <c r="AO9" s="22">
        <f t="shared" si="56"/>
        <v>15</v>
      </c>
      <c r="AP9" s="23" t="str">
        <f>IF(SUMPRODUCT($J$17:AO$17,$J9:AO9)&lt;0.5, "Pending", IF(AO9&lt;0.5, "Complete", "In Progress"))</f>
        <v>Pending</v>
      </c>
      <c r="AQ9" s="22">
        <v>0</v>
      </c>
      <c r="AR9" s="22">
        <f t="shared" si="57"/>
        <v>15</v>
      </c>
      <c r="AS9" s="23" t="str">
        <f>IF(SUMPRODUCT($J$17:AR$17,$J9:AR9)&lt;0.5, "Pending", IF(AR9&lt;0.5, "Complete", "In Progress"))</f>
        <v>Pending</v>
      </c>
      <c r="AT9" s="22">
        <v>0</v>
      </c>
      <c r="AU9" s="22">
        <f t="shared" si="58"/>
        <v>15</v>
      </c>
      <c r="AV9" s="23" t="str">
        <f>IF(SUMPRODUCT($J$17:AU$17,$J9:AU9)&lt;0.5, "Pending", IF(AU9&lt;0.5, "Complete", "In Progress"))</f>
        <v>Pending</v>
      </c>
      <c r="AW9" s="22">
        <v>0</v>
      </c>
      <c r="AX9" s="22">
        <f t="shared" si="59"/>
        <v>15</v>
      </c>
      <c r="AY9" s="23" t="str">
        <f>IF(SUMPRODUCT($J$17:AX$17,$J9:AX9)&lt;0.5,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IF(SUMPRODUCT($J$17:BA$17,$J9:BA9)&lt;0.5, "Pending", IF(BA9&lt;0.5, "Complete", "In Progress"))</f>
        <v>#REF!</v>
      </c>
      <c r="BC9" s="22">
        <v>0</v>
      </c>
      <c r="BD9" s="22" t="e">
        <f t="shared" si="60"/>
        <v>#REF!</v>
      </c>
      <c r="BE9" s="23" t="e">
        <f>IF(SUMPRODUCT($J$17:BD$17,$J9:BD9)&lt;0.5, "Pending", IF(BD9&lt;0.5, "Complete", "In Progress"))</f>
        <v>#REF!</v>
      </c>
      <c r="BF9" s="22">
        <v>0</v>
      </c>
      <c r="BG9" s="22" t="e">
        <f t="shared" si="61"/>
        <v>#REF!</v>
      </c>
      <c r="BH9" s="23" t="e">
        <f>IF(SUMPRODUCT($J$17:BG$17,$J9:BG9)&lt;0.5, "Pending", IF(BG9&lt;0.5, "Complete", "In Progress"))</f>
        <v>#REF!</v>
      </c>
      <c r="BI9" s="22">
        <v>0</v>
      </c>
      <c r="BJ9" s="22" t="e">
        <f t="shared" si="62"/>
        <v>#REF!</v>
      </c>
      <c r="BK9" s="23" t="e">
        <f>IF(SUMPRODUCT($J$17:BJ$17,$J9:BJ9)&lt;0.5, "Pending", IF(BJ9&lt;0.5, "Complete", "In Progress"))</f>
        <v>#REF!</v>
      </c>
      <c r="BL9" s="22">
        <v>0</v>
      </c>
      <c r="BM9" s="22" t="e">
        <f t="shared" si="63"/>
        <v>#REF!</v>
      </c>
      <c r="BN9" s="23" t="e">
        <f>IF(SUMPRODUCT($J$17:BM$17,$J9:BM9)&lt;0.5, "Pending", IF(BM9&lt;0.5, "Complete", "In Progress"))</f>
        <v>#REF!</v>
      </c>
      <c r="BO9" s="22">
        <v>0</v>
      </c>
      <c r="BP9" s="22" t="e">
        <f t="shared" si="64"/>
        <v>#REF!</v>
      </c>
      <c r="BQ9" s="23" t="e">
        <f>IF(SUMPRODUCT($J$17:BP$17,$J9:BP9)&lt;0.5, "Pending", IF(BP9&lt;0.5, "Complete", "In Progress"))</f>
        <v>#REF!</v>
      </c>
      <c r="BR9" s="22">
        <v>0</v>
      </c>
      <c r="BS9" s="22" t="e">
        <f t="shared" si="65"/>
        <v>#REF!</v>
      </c>
      <c r="BT9" s="23" t="e">
        <f>IF(SUMPRODUCT($J$17:BS$17,$J9:BS9)&lt;0.5, "Pending", IF(BS9&lt;0.5, "Complete", "In Progress"))</f>
        <v>#REF!</v>
      </c>
      <c r="BU9" s="22">
        <v>0</v>
      </c>
      <c r="BV9" s="22" t="e">
        <f t="shared" si="66"/>
        <v>#REF!</v>
      </c>
      <c r="BW9" s="23" t="e">
        <f>IF(SUMPRODUCT($J$17:BV$17,$J9:BV9)&lt;0.5, "Pending", IF(BV9&lt;0.5, "Complete", "In Progress"))</f>
        <v>#REF!</v>
      </c>
      <c r="BX9" s="22">
        <v>0</v>
      </c>
      <c r="BY9" s="22" t="e">
        <f t="shared" si="67"/>
        <v>#REF!</v>
      </c>
      <c r="BZ9" s="23" t="e">
        <f>IF(SUMPRODUCT($J$17:BY$17,$J9:BY9)&lt;0.5, "Pending", IF(BY9&lt;0.5, "Complete", "In Progress"))</f>
        <v>#REF!</v>
      </c>
      <c r="CA9" s="22">
        <v>0</v>
      </c>
      <c r="CB9" s="22" t="e">
        <f t="shared" si="68"/>
        <v>#REF!</v>
      </c>
      <c r="CC9" s="23" t="e">
        <f>IF(SUMPRODUCT($J$17:CB$17,$J9:CB9)&lt;0.5, "Pending", IF(CB9&lt;0.5, "Complete", "In Progress"))</f>
        <v>#REF!</v>
      </c>
      <c r="CD9" s="24"/>
      <c r="CE9" s="25">
        <f>SUMPRODUCT($H$17:AY$17,$H9:AY9)</f>
        <v>0</v>
      </c>
    </row>
    <row r="10" spans="1:83" x14ac:dyDescent="0.2">
      <c r="A10" s="16"/>
      <c r="B10" s="16"/>
      <c r="C10" s="16" t="s">
        <v>157</v>
      </c>
      <c r="D10" s="17" t="s">
        <v>152</v>
      </c>
      <c r="E10" s="177" t="s">
        <v>153</v>
      </c>
      <c r="F10" s="18" t="s">
        <v>132</v>
      </c>
      <c r="G10" s="19" t="str">
        <f t="shared" ca="1" si="0"/>
        <v>Pending</v>
      </c>
      <c r="H10" s="20">
        <v>1</v>
      </c>
      <c r="I10" s="21">
        <v>4</v>
      </c>
      <c r="J10" s="22">
        <v>0</v>
      </c>
      <c r="K10" s="22">
        <f t="shared" si="24"/>
        <v>4</v>
      </c>
      <c r="L10" s="23" t="str">
        <f>IF(SUMPRODUCT($J$17:K$17,$J10:K10)&lt;0.5, "Pending", IF(K10&lt;0.5, "Complete", "In Progress"))</f>
        <v>Pending</v>
      </c>
      <c r="M10" s="22">
        <v>0</v>
      </c>
      <c r="N10" s="22">
        <f t="shared" si="47"/>
        <v>4</v>
      </c>
      <c r="O10" s="23" t="str">
        <f>IF(SUMPRODUCT($J$17:N$17,$J10:N10)&lt;0.5, "Pending", IF(N10&lt;0.5, "Complete", "In Progress"))</f>
        <v>Pending</v>
      </c>
      <c r="P10" s="22">
        <v>0</v>
      </c>
      <c r="Q10" s="22">
        <f t="shared" si="48"/>
        <v>4</v>
      </c>
      <c r="R10" s="23" t="str">
        <f>IF(SUMPRODUCT($J$17:Q$17,$J10:Q10)&lt;0.5, "Pending", IF(Q10&lt;0.5, "Complete", "In Progress"))</f>
        <v>Pending</v>
      </c>
      <c r="S10" s="22">
        <v>0</v>
      </c>
      <c r="T10" s="22">
        <f t="shared" si="49"/>
        <v>4</v>
      </c>
      <c r="U10" s="23" t="str">
        <f>IF(SUMPRODUCT($J$17:T$17,$J10:T10)&lt;0.5, "Pending", IF(T10&lt;0.5, "Complete", "In Progress"))</f>
        <v>Pending</v>
      </c>
      <c r="V10" s="22">
        <v>0</v>
      </c>
      <c r="W10" s="22">
        <f t="shared" si="50"/>
        <v>4</v>
      </c>
      <c r="X10" s="23" t="str">
        <f>IF(SUMPRODUCT($J$17:W$17,$J10:W10)&lt;0.5, "Pending", IF(W10&lt;0.5, "Complete", "In Progress"))</f>
        <v>Pending</v>
      </c>
      <c r="Y10" s="22">
        <v>0</v>
      </c>
      <c r="Z10" s="22">
        <f t="shared" si="51"/>
        <v>4</v>
      </c>
      <c r="AA10" s="23" t="str">
        <f>IF(SUMPRODUCT($J$17:Z$17,$J10:Z10)&lt;0.5, "Pending", IF(Z10&lt;0.5, "Complete", "In Progress"))</f>
        <v>Pending</v>
      </c>
      <c r="AB10" s="22">
        <v>0</v>
      </c>
      <c r="AC10" s="22">
        <f t="shared" si="52"/>
        <v>4</v>
      </c>
      <c r="AD10" s="23" t="str">
        <f>IF(SUMPRODUCT($J$17:AC$17,$J10:AC10)&lt;0.5, "Pending", IF(AC10&lt;0.5, "Complete", "In Progress"))</f>
        <v>Pending</v>
      </c>
      <c r="AE10" s="22">
        <v>0</v>
      </c>
      <c r="AF10" s="22">
        <f t="shared" si="53"/>
        <v>4</v>
      </c>
      <c r="AG10" s="23" t="str">
        <f>IF(SUMPRODUCT($J$17:AF$17,$J10:AF10)&lt;0.5, "Pending", IF(AF10&lt;0.5, "Complete", "In Progress"))</f>
        <v>Pending</v>
      </c>
      <c r="AH10" s="22">
        <v>0</v>
      </c>
      <c r="AI10" s="22">
        <f t="shared" si="54"/>
        <v>4</v>
      </c>
      <c r="AJ10" s="23" t="str">
        <f>IF(SUMPRODUCT($J$17:AI$17,$J10:AI10)&lt;0.5, "Pending", IF(AI10&lt;0.5, "Complete", "In Progress"))</f>
        <v>Pending</v>
      </c>
      <c r="AK10" s="22">
        <v>0</v>
      </c>
      <c r="AL10" s="22">
        <f t="shared" si="55"/>
        <v>4</v>
      </c>
      <c r="AM10" s="23" t="str">
        <f>IF(SUMPRODUCT($J$17:AL$17,$J10:AL10)&lt;0.5, "Pending", IF(AL10&lt;0.5, "Complete", "In Progress"))</f>
        <v>Pending</v>
      </c>
      <c r="AN10" s="22">
        <v>0</v>
      </c>
      <c r="AO10" s="22">
        <f t="shared" si="56"/>
        <v>4</v>
      </c>
      <c r="AP10" s="23" t="str">
        <f>IF(SUMPRODUCT($J$17:AO$17,$J10:AO10)&lt;0.5, "Pending", IF(AO10&lt;0.5, "Complete", "In Progress"))</f>
        <v>Pending</v>
      </c>
      <c r="AQ10" s="22">
        <v>0</v>
      </c>
      <c r="AR10" s="22">
        <f t="shared" si="57"/>
        <v>4</v>
      </c>
      <c r="AS10" s="23" t="str">
        <f>IF(SUMPRODUCT($J$17:AR$17,$J10:AR10)&lt;0.5, "Pending", IF(AR10&lt;0.5, "Complete", "In Progress"))</f>
        <v>Pending</v>
      </c>
      <c r="AT10" s="22">
        <v>0</v>
      </c>
      <c r="AU10" s="22">
        <f t="shared" si="58"/>
        <v>4</v>
      </c>
      <c r="AV10" s="23" t="str">
        <f>IF(SUMPRODUCT($J$17:AU$17,$J10:AU10)&lt;0.5, "Pending", IF(AU10&lt;0.5, "Complete", "In Progress"))</f>
        <v>Pending</v>
      </c>
      <c r="AW10" s="22">
        <v>0</v>
      </c>
      <c r="AX10" s="22">
        <f t="shared" si="59"/>
        <v>4</v>
      </c>
      <c r="AY10" s="23" t="str">
        <f>IF(SUMPRODUCT($J$17:AX$17,$J10:AX10)&lt;0.5,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IF(SUMPRODUCT($J$17:BA$17,$J10:BA10)&lt;0.5, "Pending", IF(BA10&lt;0.5, "Complete", "In Progress"))</f>
        <v>#REF!</v>
      </c>
      <c r="BC10" s="22">
        <v>0</v>
      </c>
      <c r="BD10" s="22" t="e">
        <f t="shared" si="60"/>
        <v>#REF!</v>
      </c>
      <c r="BE10" s="23" t="e">
        <f>IF(SUMPRODUCT($J$17:BD$17,$J10:BD10)&lt;0.5, "Pending", IF(BD10&lt;0.5, "Complete", "In Progress"))</f>
        <v>#REF!</v>
      </c>
      <c r="BF10" s="22">
        <v>0</v>
      </c>
      <c r="BG10" s="22" t="e">
        <f t="shared" si="61"/>
        <v>#REF!</v>
      </c>
      <c r="BH10" s="23" t="e">
        <f>IF(SUMPRODUCT($J$17:BG$17,$J10:BG10)&lt;0.5, "Pending", IF(BG10&lt;0.5, "Complete", "In Progress"))</f>
        <v>#REF!</v>
      </c>
      <c r="BI10" s="22">
        <v>0</v>
      </c>
      <c r="BJ10" s="22" t="e">
        <f t="shared" si="62"/>
        <v>#REF!</v>
      </c>
      <c r="BK10" s="23" t="e">
        <f>IF(SUMPRODUCT($J$17:BJ$17,$J10:BJ10)&lt;0.5, "Pending", IF(BJ10&lt;0.5, "Complete", "In Progress"))</f>
        <v>#REF!</v>
      </c>
      <c r="BL10" s="22">
        <v>0</v>
      </c>
      <c r="BM10" s="22" t="e">
        <f t="shared" si="63"/>
        <v>#REF!</v>
      </c>
      <c r="BN10" s="23" t="e">
        <f>IF(SUMPRODUCT($J$17:BM$17,$J10:BM10)&lt;0.5, "Pending", IF(BM10&lt;0.5, "Complete", "In Progress"))</f>
        <v>#REF!</v>
      </c>
      <c r="BO10" s="22">
        <v>0</v>
      </c>
      <c r="BP10" s="22" t="e">
        <f t="shared" si="64"/>
        <v>#REF!</v>
      </c>
      <c r="BQ10" s="23" t="e">
        <f>IF(SUMPRODUCT($J$17:BP$17,$J10:BP10)&lt;0.5, "Pending", IF(BP10&lt;0.5, "Complete", "In Progress"))</f>
        <v>#REF!</v>
      </c>
      <c r="BR10" s="22">
        <v>0</v>
      </c>
      <c r="BS10" s="22" t="e">
        <f t="shared" si="65"/>
        <v>#REF!</v>
      </c>
      <c r="BT10" s="23" t="e">
        <f>IF(SUMPRODUCT($J$17:BS$17,$J10:BS10)&lt;0.5, "Pending", IF(BS10&lt;0.5, "Complete", "In Progress"))</f>
        <v>#REF!</v>
      </c>
      <c r="BU10" s="22">
        <v>0</v>
      </c>
      <c r="BV10" s="22" t="e">
        <f t="shared" si="66"/>
        <v>#REF!</v>
      </c>
      <c r="BW10" s="23" t="e">
        <f>IF(SUMPRODUCT($J$17:BV$17,$J10:BV10)&lt;0.5, "Pending", IF(BV10&lt;0.5, "Complete", "In Progress"))</f>
        <v>#REF!</v>
      </c>
      <c r="BX10" s="22">
        <v>0</v>
      </c>
      <c r="BY10" s="22" t="e">
        <f t="shared" si="67"/>
        <v>#REF!</v>
      </c>
      <c r="BZ10" s="23" t="e">
        <f>IF(SUMPRODUCT($J$17:BY$17,$J10:BY10)&lt;0.5, "Pending", IF(BY10&lt;0.5, "Complete", "In Progress"))</f>
        <v>#REF!</v>
      </c>
      <c r="CA10" s="22">
        <v>0</v>
      </c>
      <c r="CB10" s="22" t="e">
        <f t="shared" si="68"/>
        <v>#REF!</v>
      </c>
      <c r="CC10" s="23" t="e">
        <f>IF(SUMPRODUCT($J$17:CB$17,$J10:CB10)&lt;0.5, "Pending", IF(CB10&lt;0.5, "Complete", "In Progress"))</f>
        <v>#REF!</v>
      </c>
      <c r="CD10" s="24"/>
      <c r="CE10" s="25">
        <f>SUMPRODUCT($H$17:AY$17,$H10:AY10)</f>
        <v>0</v>
      </c>
    </row>
    <row r="11" spans="1:83" x14ac:dyDescent="0.2">
      <c r="A11" s="16"/>
      <c r="B11" s="16"/>
      <c r="C11" s="16" t="s">
        <v>157</v>
      </c>
      <c r="D11" s="17" t="s">
        <v>154</v>
      </c>
      <c r="E11" s="177" t="s">
        <v>155</v>
      </c>
      <c r="F11" s="18" t="s">
        <v>132</v>
      </c>
      <c r="G11" s="19" t="str">
        <f t="shared" ca="1" si="0"/>
        <v>Pending</v>
      </c>
      <c r="H11" s="20">
        <v>1</v>
      </c>
      <c r="I11" s="21">
        <v>1</v>
      </c>
      <c r="J11" s="22">
        <v>0</v>
      </c>
      <c r="K11" s="22">
        <f t="shared" si="24"/>
        <v>1</v>
      </c>
      <c r="L11" s="23" t="str">
        <f>IF(SUMPRODUCT($J$17:K$17,$J11:K11)&lt;0.5, "Pending", IF(K11&lt;0.5, "Complete", "In Progress"))</f>
        <v>Pending</v>
      </c>
      <c r="M11" s="22">
        <v>0</v>
      </c>
      <c r="N11" s="22">
        <f t="shared" si="47"/>
        <v>1</v>
      </c>
      <c r="O11" s="23" t="str">
        <f>IF(SUMPRODUCT($J$17:N$17,$J11:N11)&lt;0.5, "Pending", IF(N11&lt;0.5, "Complete", "In Progress"))</f>
        <v>Pending</v>
      </c>
      <c r="P11" s="22">
        <v>0</v>
      </c>
      <c r="Q11" s="22">
        <f t="shared" si="48"/>
        <v>1</v>
      </c>
      <c r="R11" s="23" t="str">
        <f>IF(SUMPRODUCT($J$17:Q$17,$J11:Q11)&lt;0.5, "Pending", IF(Q11&lt;0.5, "Complete", "In Progress"))</f>
        <v>Pending</v>
      </c>
      <c r="S11" s="22">
        <v>0</v>
      </c>
      <c r="T11" s="22">
        <f t="shared" si="49"/>
        <v>1</v>
      </c>
      <c r="U11" s="23" t="str">
        <f>IF(SUMPRODUCT($J$17:T$17,$J11:T11)&lt;0.5, "Pending", IF(T11&lt;0.5, "Complete", "In Progress"))</f>
        <v>Pending</v>
      </c>
      <c r="V11" s="22">
        <v>0</v>
      </c>
      <c r="W11" s="22">
        <f t="shared" si="50"/>
        <v>1</v>
      </c>
      <c r="X11" s="23" t="str">
        <f>IF(SUMPRODUCT($J$17:W$17,$J11:W11)&lt;0.5, "Pending", IF(W11&lt;0.5, "Complete", "In Progress"))</f>
        <v>Pending</v>
      </c>
      <c r="Y11" s="22">
        <v>0</v>
      </c>
      <c r="Z11" s="22">
        <f t="shared" si="51"/>
        <v>1</v>
      </c>
      <c r="AA11" s="23" t="str">
        <f>IF(SUMPRODUCT($J$17:Z$17,$J11:Z11)&lt;0.5, "Pending", IF(Z11&lt;0.5, "Complete", "In Progress"))</f>
        <v>Pending</v>
      </c>
      <c r="AB11" s="22">
        <v>0</v>
      </c>
      <c r="AC11" s="22">
        <f t="shared" si="52"/>
        <v>1</v>
      </c>
      <c r="AD11" s="23" t="str">
        <f>IF(SUMPRODUCT($J$17:AC$17,$J11:AC11)&lt;0.5, "Pending", IF(AC11&lt;0.5, "Complete", "In Progress"))</f>
        <v>Pending</v>
      </c>
      <c r="AE11" s="22">
        <v>0</v>
      </c>
      <c r="AF11" s="22">
        <f t="shared" si="53"/>
        <v>1</v>
      </c>
      <c r="AG11" s="23" t="str">
        <f>IF(SUMPRODUCT($J$17:AF$17,$J11:AF11)&lt;0.5, "Pending", IF(AF11&lt;0.5, "Complete", "In Progress"))</f>
        <v>Pending</v>
      </c>
      <c r="AH11" s="22">
        <v>0</v>
      </c>
      <c r="AI11" s="22">
        <f t="shared" si="54"/>
        <v>1</v>
      </c>
      <c r="AJ11" s="23" t="str">
        <f>IF(SUMPRODUCT($J$17:AI$17,$J11:AI11)&lt;0.5, "Pending", IF(AI11&lt;0.5, "Complete", "In Progress"))</f>
        <v>Pending</v>
      </c>
      <c r="AK11" s="22">
        <v>0</v>
      </c>
      <c r="AL11" s="22">
        <f t="shared" si="55"/>
        <v>1</v>
      </c>
      <c r="AM11" s="23" t="str">
        <f>IF(SUMPRODUCT($J$17:AL$17,$J11:AL11)&lt;0.5, "Pending", IF(AL11&lt;0.5, "Complete", "In Progress"))</f>
        <v>Pending</v>
      </c>
      <c r="AN11" s="22">
        <v>0</v>
      </c>
      <c r="AO11" s="22">
        <f t="shared" si="56"/>
        <v>1</v>
      </c>
      <c r="AP11" s="23" t="str">
        <f>IF(SUMPRODUCT($J$17:AO$17,$J11:AO11)&lt;0.5, "Pending", IF(AO11&lt;0.5, "Complete", "In Progress"))</f>
        <v>Pending</v>
      </c>
      <c r="AQ11" s="22">
        <v>0</v>
      </c>
      <c r="AR11" s="22">
        <f t="shared" si="57"/>
        <v>1</v>
      </c>
      <c r="AS11" s="23" t="str">
        <f>IF(SUMPRODUCT($J$17:AR$17,$J11:AR11)&lt;0.5, "Pending", IF(AR11&lt;0.5, "Complete", "In Progress"))</f>
        <v>Pending</v>
      </c>
      <c r="AT11" s="22">
        <v>0</v>
      </c>
      <c r="AU11" s="22">
        <f t="shared" si="58"/>
        <v>1</v>
      </c>
      <c r="AV11" s="23" t="str">
        <f>IF(SUMPRODUCT($J$17:AU$17,$J11:AU11)&lt;0.5, "Pending", IF(AU11&lt;0.5, "Complete", "In Progress"))</f>
        <v>Pending</v>
      </c>
      <c r="AW11" s="22">
        <v>0</v>
      </c>
      <c r="AX11" s="22">
        <f t="shared" si="59"/>
        <v>1</v>
      </c>
      <c r="AY11" s="23" t="str">
        <f>IF(SUMPRODUCT($J$17:AX$17,$J11:AX11)&lt;0.5,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IF(SUMPRODUCT($J$17:BA$17,$J11:BA11)&lt;0.5, "Pending", IF(BA11&lt;0.5, "Complete", "In Progress"))</f>
        <v>#REF!</v>
      </c>
      <c r="BC11" s="22">
        <v>0</v>
      </c>
      <c r="BD11" s="22" t="e">
        <f t="shared" si="60"/>
        <v>#REF!</v>
      </c>
      <c r="BE11" s="23" t="e">
        <f>IF(SUMPRODUCT($J$17:BD$17,$J11:BD11)&lt;0.5, "Pending", IF(BD11&lt;0.5, "Complete", "In Progress"))</f>
        <v>#REF!</v>
      </c>
      <c r="BF11" s="22">
        <v>0</v>
      </c>
      <c r="BG11" s="22" t="e">
        <f t="shared" si="61"/>
        <v>#REF!</v>
      </c>
      <c r="BH11" s="23" t="e">
        <f>IF(SUMPRODUCT($J$17:BG$17,$J11:BG11)&lt;0.5, "Pending", IF(BG11&lt;0.5, "Complete", "In Progress"))</f>
        <v>#REF!</v>
      </c>
      <c r="BI11" s="22">
        <v>0</v>
      </c>
      <c r="BJ11" s="22" t="e">
        <f t="shared" si="62"/>
        <v>#REF!</v>
      </c>
      <c r="BK11" s="23" t="e">
        <f>IF(SUMPRODUCT($J$17:BJ$17,$J11:BJ11)&lt;0.5, "Pending", IF(BJ11&lt;0.5, "Complete", "In Progress"))</f>
        <v>#REF!</v>
      </c>
      <c r="BL11" s="22">
        <v>0</v>
      </c>
      <c r="BM11" s="22" t="e">
        <f t="shared" si="63"/>
        <v>#REF!</v>
      </c>
      <c r="BN11" s="23" t="e">
        <f>IF(SUMPRODUCT($J$17:BM$17,$J11:BM11)&lt;0.5, "Pending", IF(BM11&lt;0.5, "Complete", "In Progress"))</f>
        <v>#REF!</v>
      </c>
      <c r="BO11" s="22">
        <v>0</v>
      </c>
      <c r="BP11" s="22" t="e">
        <f t="shared" si="64"/>
        <v>#REF!</v>
      </c>
      <c r="BQ11" s="23" t="e">
        <f>IF(SUMPRODUCT($J$17:BP$17,$J11:BP11)&lt;0.5, "Pending", IF(BP11&lt;0.5, "Complete", "In Progress"))</f>
        <v>#REF!</v>
      </c>
      <c r="BR11" s="22">
        <v>0</v>
      </c>
      <c r="BS11" s="22" t="e">
        <f t="shared" si="65"/>
        <v>#REF!</v>
      </c>
      <c r="BT11" s="23" t="e">
        <f>IF(SUMPRODUCT($J$17:BS$17,$J11:BS11)&lt;0.5, "Pending", IF(BS11&lt;0.5, "Complete", "In Progress"))</f>
        <v>#REF!</v>
      </c>
      <c r="BU11" s="22">
        <v>0</v>
      </c>
      <c r="BV11" s="22" t="e">
        <f t="shared" si="66"/>
        <v>#REF!</v>
      </c>
      <c r="BW11" s="23" t="e">
        <f>IF(SUMPRODUCT($J$17:BV$17,$J11:BV11)&lt;0.5, "Pending", IF(BV11&lt;0.5, "Complete", "In Progress"))</f>
        <v>#REF!</v>
      </c>
      <c r="BX11" s="22">
        <v>0</v>
      </c>
      <c r="BY11" s="22" t="e">
        <f t="shared" si="67"/>
        <v>#REF!</v>
      </c>
      <c r="BZ11" s="23" t="e">
        <f>IF(SUMPRODUCT($J$17:BY$17,$J11:BY11)&lt;0.5, "Pending", IF(BY11&lt;0.5, "Complete", "In Progress"))</f>
        <v>#REF!</v>
      </c>
      <c r="CA11" s="22">
        <v>0</v>
      </c>
      <c r="CB11" s="22" t="e">
        <f t="shared" si="68"/>
        <v>#REF!</v>
      </c>
      <c r="CC11" s="23" t="e">
        <f>IF(SUMPRODUCT($J$17:CB$17,$J11:CB11)&lt;0.5, "Pending", IF(CB11&lt;0.5, "Complete", "In Progress"))</f>
        <v>#REF!</v>
      </c>
      <c r="CD11" s="24"/>
      <c r="CE11" s="25">
        <f>SUMPRODUCT($H$17:AY$17,$H11:AY11)</f>
        <v>0</v>
      </c>
    </row>
    <row r="12" spans="1:83" x14ac:dyDescent="0.2">
      <c r="A12" s="16"/>
      <c r="B12" s="16"/>
      <c r="C12" s="16"/>
      <c r="D12" s="17"/>
      <c r="E12" s="206"/>
      <c r="F12" s="18" t="s">
        <v>132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IF(SUMPRODUCT($J$17:K$17,$J12:K12)&lt;0.5, "Pending", IF(K12&lt;0.5, "Complete", "In Progress"))</f>
        <v>Pending</v>
      </c>
      <c r="M12" s="22">
        <v>0</v>
      </c>
      <c r="N12" s="22">
        <f t="shared" si="47"/>
        <v>0</v>
      </c>
      <c r="O12" s="23" t="str">
        <f>IF(SUMPRODUCT($J$17:N$17,$J12:N12)&lt;0.5, "Pending", IF(N12&lt;0.5, "Complete", "In Progress"))</f>
        <v>Pending</v>
      </c>
      <c r="P12" s="22">
        <v>0</v>
      </c>
      <c r="Q12" s="204">
        <f t="shared" si="48"/>
        <v>0</v>
      </c>
      <c r="R12" s="23" t="str">
        <f>IF(SUMPRODUCT($J$17:Q$17,$J12:Q12)&lt;0.5, "Pending", IF(Q12&lt;0.5, "Complete", "In Progress"))</f>
        <v>Pending</v>
      </c>
      <c r="S12" s="22">
        <v>0</v>
      </c>
      <c r="T12" s="22">
        <f t="shared" si="49"/>
        <v>0</v>
      </c>
      <c r="U12" s="23" t="str">
        <f>IF(SUMPRODUCT($J$17:T$17,$J12:T12)&lt;0.5, "Pending", IF(T12&lt;0.5, "Complete", "In Progress"))</f>
        <v>Pending</v>
      </c>
      <c r="V12" s="22">
        <v>0</v>
      </c>
      <c r="W12" s="22">
        <f t="shared" si="50"/>
        <v>0</v>
      </c>
      <c r="X12" s="23" t="str">
        <f>IF(SUMPRODUCT($J$17:W$17,$J12:W12)&lt;0.5, "Pending", IF(W12&lt;0.5, "Complete", "In Progress"))</f>
        <v>Pending</v>
      </c>
      <c r="Y12" s="22">
        <v>0</v>
      </c>
      <c r="Z12" s="22">
        <f t="shared" si="51"/>
        <v>0</v>
      </c>
      <c r="AA12" s="23" t="str">
        <f>IF(SUMPRODUCT($J$17:Z$17,$J12:Z12)&lt;0.5, "Pending", IF(Z12&lt;0.5, "Complete", "In Progress"))</f>
        <v>Pending</v>
      </c>
      <c r="AB12" s="22">
        <v>0</v>
      </c>
      <c r="AC12" s="22">
        <f t="shared" si="52"/>
        <v>0</v>
      </c>
      <c r="AD12" s="23" t="str">
        <f>IF(SUMPRODUCT($J$17:AC$17,$J12:AC12)&lt;0.5, "Pending", IF(AC12&lt;0.5, "Complete", "In Progress"))</f>
        <v>Pending</v>
      </c>
      <c r="AE12" s="22">
        <v>0</v>
      </c>
      <c r="AF12" s="22">
        <f t="shared" si="53"/>
        <v>0</v>
      </c>
      <c r="AG12" s="23" t="str">
        <f>IF(SUMPRODUCT($J$17:AF$17,$J12:AF12)&lt;0.5, "Pending", IF(AF12&lt;0.5, "Complete", "In Progress"))</f>
        <v>Pending</v>
      </c>
      <c r="AH12" s="22">
        <v>0</v>
      </c>
      <c r="AI12" s="22">
        <f t="shared" si="54"/>
        <v>0</v>
      </c>
      <c r="AJ12" s="23" t="str">
        <f>IF(SUMPRODUCT($J$17:AI$17,$J12:AI12)&lt;0.5, "Pending", IF(AI12&lt;0.5, "Complete", "In Progress"))</f>
        <v>Pending</v>
      </c>
      <c r="AK12" s="22">
        <v>0</v>
      </c>
      <c r="AL12" s="22">
        <f t="shared" si="55"/>
        <v>0</v>
      </c>
      <c r="AM12" s="23" t="str">
        <f>IF(SUMPRODUCT($J$17:AL$17,$J12:AL12)&lt;0.5, "Pending", IF(AL12&lt;0.5, "Complete", "In Progress"))</f>
        <v>Pending</v>
      </c>
      <c r="AN12" s="22">
        <v>0</v>
      </c>
      <c r="AO12" s="22">
        <f t="shared" si="56"/>
        <v>0</v>
      </c>
      <c r="AP12" s="23" t="str">
        <f>IF(SUMPRODUCT($J$17:AO$17,$J12:AO12)&lt;0.5, "Pending", IF(AO12&lt;0.5, "Complete", "In Progress"))</f>
        <v>Pending</v>
      </c>
      <c r="AQ12" s="22">
        <v>0</v>
      </c>
      <c r="AR12" s="22">
        <f t="shared" si="57"/>
        <v>0</v>
      </c>
      <c r="AS12" s="23" t="str">
        <f>IF(SUMPRODUCT($J$17:AR$17,$J12:AR12)&lt;0.5, "Pending", IF(AR12&lt;0.5, "Complete", "In Progress"))</f>
        <v>Pending</v>
      </c>
      <c r="AT12" s="22">
        <v>0</v>
      </c>
      <c r="AU12" s="22">
        <f t="shared" si="58"/>
        <v>0</v>
      </c>
      <c r="AV12" s="23" t="str">
        <f>IF(SUMPRODUCT($J$17:AU$17,$J12:AU12)&lt;0.5, "Pending", IF(AU12&lt;0.5, "Complete", "In Progress"))</f>
        <v>Pending</v>
      </c>
      <c r="AW12" s="22">
        <v>0</v>
      </c>
      <c r="AX12" s="22">
        <f t="shared" si="59"/>
        <v>0</v>
      </c>
      <c r="AY12" s="23" t="str">
        <f>IF(SUMPRODUCT($J$17:AX$17,$J12:AX12)&lt;0.5,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IF(SUMPRODUCT($J$17:BA$17,$J12:BA12)&lt;0.5, "Pending", IF(BA12&lt;0.5, "Complete", "In Progress"))</f>
        <v>#REF!</v>
      </c>
      <c r="BC12" s="22">
        <v>0</v>
      </c>
      <c r="BD12" s="22" t="e">
        <f t="shared" si="60"/>
        <v>#REF!</v>
      </c>
      <c r="BE12" s="23" t="e">
        <f>IF(SUMPRODUCT($J$17:BD$17,$J12:BD12)&lt;0.5, "Pending", IF(BD12&lt;0.5, "Complete", "In Progress"))</f>
        <v>#REF!</v>
      </c>
      <c r="BF12" s="22">
        <v>0</v>
      </c>
      <c r="BG12" s="22" t="e">
        <f t="shared" si="61"/>
        <v>#REF!</v>
      </c>
      <c r="BH12" s="23" t="e">
        <f>IF(SUMPRODUCT($J$17:BG$17,$J12:BG12)&lt;0.5, "Pending", IF(BG12&lt;0.5, "Complete", "In Progress"))</f>
        <v>#REF!</v>
      </c>
      <c r="BI12" s="22">
        <v>0</v>
      </c>
      <c r="BJ12" s="22" t="e">
        <f t="shared" si="62"/>
        <v>#REF!</v>
      </c>
      <c r="BK12" s="23" t="e">
        <f>IF(SUMPRODUCT($J$17:BJ$17,$J12:BJ12)&lt;0.5, "Pending", IF(BJ12&lt;0.5, "Complete", "In Progress"))</f>
        <v>#REF!</v>
      </c>
      <c r="BL12" s="22">
        <v>0</v>
      </c>
      <c r="BM12" s="22" t="e">
        <f t="shared" si="63"/>
        <v>#REF!</v>
      </c>
      <c r="BN12" s="23" t="e">
        <f>IF(SUMPRODUCT($J$17:BM$17,$J12:BM12)&lt;0.5, "Pending", IF(BM12&lt;0.5, "Complete", "In Progress"))</f>
        <v>#REF!</v>
      </c>
      <c r="BO12" s="22">
        <v>0</v>
      </c>
      <c r="BP12" s="22" t="e">
        <f t="shared" si="64"/>
        <v>#REF!</v>
      </c>
      <c r="BQ12" s="23" t="e">
        <f>IF(SUMPRODUCT($J$17:BP$17,$J12:BP12)&lt;0.5, "Pending", IF(BP12&lt;0.5, "Complete", "In Progress"))</f>
        <v>#REF!</v>
      </c>
      <c r="BR12" s="22">
        <v>0</v>
      </c>
      <c r="BS12" s="22" t="e">
        <f t="shared" si="65"/>
        <v>#REF!</v>
      </c>
      <c r="BT12" s="23" t="e">
        <f>IF(SUMPRODUCT($J$17:BS$17,$J12:BS12)&lt;0.5, "Pending", IF(BS12&lt;0.5, "Complete", "In Progress"))</f>
        <v>#REF!</v>
      </c>
      <c r="BU12" s="22">
        <v>0</v>
      </c>
      <c r="BV12" s="22" t="e">
        <f t="shared" si="66"/>
        <v>#REF!</v>
      </c>
      <c r="BW12" s="23" t="e">
        <f>IF(SUMPRODUCT($J$17:BV$17,$J12:BV12)&lt;0.5, "Pending", IF(BV12&lt;0.5, "Complete", "In Progress"))</f>
        <v>#REF!</v>
      </c>
      <c r="BX12" s="22">
        <v>0</v>
      </c>
      <c r="BY12" s="22" t="e">
        <f t="shared" si="67"/>
        <v>#REF!</v>
      </c>
      <c r="BZ12" s="23" t="e">
        <f>IF(SUMPRODUCT($J$17:BY$17,$J12:BY12)&lt;0.5, "Pending", IF(BY12&lt;0.5, "Complete", "In Progress"))</f>
        <v>#REF!</v>
      </c>
      <c r="CA12" s="22">
        <v>0</v>
      </c>
      <c r="CB12" s="22" t="e">
        <f t="shared" si="68"/>
        <v>#REF!</v>
      </c>
      <c r="CC12" s="23" t="e">
        <f>IF(SUMPRODUCT($J$17:CB$17,$J12:CB12)&lt;0.5, "Pending", IF(CB12&lt;0.5, "Complete", "In Progress"))</f>
        <v>#REF!</v>
      </c>
      <c r="CD12" s="24"/>
      <c r="CE12" s="25">
        <f>SUMPRODUCT($H$17:AY$17,$H12:AY12)</f>
        <v>0</v>
      </c>
    </row>
    <row r="13" spans="1:83" x14ac:dyDescent="0.2">
      <c r="A13" s="16"/>
      <c r="B13" s="16"/>
      <c r="C13" s="16"/>
      <c r="D13" s="17"/>
      <c r="E13" s="177"/>
      <c r="F13" s="18" t="s">
        <v>132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IF(SUMPRODUCT($J$17:K$17,$J13:K13)&lt;0.5, "Pending", IF(K13&lt;0.5, "Complete", "In Progress"))</f>
        <v>Pending</v>
      </c>
      <c r="M13" s="22">
        <v>0</v>
      </c>
      <c r="N13" s="22">
        <f t="shared" si="47"/>
        <v>0</v>
      </c>
      <c r="O13" s="23" t="str">
        <f>IF(SUMPRODUCT($J$17:N$17,$J13:N13)&lt;0.5, "Pending", IF(N13&lt;0.5, "Complete", "In Progress"))</f>
        <v>Pending</v>
      </c>
      <c r="P13" s="22">
        <v>0</v>
      </c>
      <c r="Q13" s="22">
        <f t="shared" si="48"/>
        <v>0</v>
      </c>
      <c r="R13" s="23" t="str">
        <f>IF(SUMPRODUCT($J$17:Q$17,$J13:Q13)&lt;0.5, "Pending", IF(Q13&lt;0.5, "Complete", "In Progress"))</f>
        <v>Pending</v>
      </c>
      <c r="S13" s="22">
        <v>0</v>
      </c>
      <c r="T13" s="22">
        <f t="shared" si="49"/>
        <v>0</v>
      </c>
      <c r="U13" s="23" t="str">
        <f>IF(SUMPRODUCT($J$17:T$17,$J13:T13)&lt;0.5, "Pending", IF(T13&lt;0.5, "Complete", "In Progress"))</f>
        <v>Pending</v>
      </c>
      <c r="V13" s="22">
        <v>0</v>
      </c>
      <c r="W13" s="22">
        <f t="shared" si="50"/>
        <v>0</v>
      </c>
      <c r="X13" s="23" t="str">
        <f>IF(SUMPRODUCT($J$17:W$17,$J13:W13)&lt;0.5, "Pending", IF(W13&lt;0.5, "Complete", "In Progress"))</f>
        <v>Pending</v>
      </c>
      <c r="Y13" s="22">
        <v>0</v>
      </c>
      <c r="Z13" s="22">
        <f t="shared" si="51"/>
        <v>0</v>
      </c>
      <c r="AA13" s="23" t="str">
        <f>IF(SUMPRODUCT($J$17:Z$17,$J13:Z13)&lt;0.5, "Pending", IF(Z13&lt;0.5, "Complete", "In Progress"))</f>
        <v>Pending</v>
      </c>
      <c r="AB13" s="22">
        <v>0</v>
      </c>
      <c r="AC13" s="22">
        <f t="shared" si="52"/>
        <v>0</v>
      </c>
      <c r="AD13" s="23" t="str">
        <f>IF(SUMPRODUCT($J$17:AC$17,$J13:AC13)&lt;0.5, "Pending", IF(AC13&lt;0.5, "Complete", "In Progress"))</f>
        <v>Pending</v>
      </c>
      <c r="AE13" s="22">
        <v>0</v>
      </c>
      <c r="AF13" s="22">
        <f t="shared" si="53"/>
        <v>0</v>
      </c>
      <c r="AG13" s="23" t="str">
        <f>IF(SUMPRODUCT($J$17:AF$17,$J13:AF13)&lt;0.5, "Pending", IF(AF13&lt;0.5, "Complete", "In Progress"))</f>
        <v>Pending</v>
      </c>
      <c r="AH13" s="22">
        <v>0</v>
      </c>
      <c r="AI13" s="22">
        <f t="shared" si="54"/>
        <v>0</v>
      </c>
      <c r="AJ13" s="23" t="str">
        <f>IF(SUMPRODUCT($J$17:AI$17,$J13:AI13)&lt;0.5, "Pending", IF(AI13&lt;0.5, "Complete", "In Progress"))</f>
        <v>Pending</v>
      </c>
      <c r="AK13" s="22">
        <v>0</v>
      </c>
      <c r="AL13" s="22">
        <f t="shared" si="55"/>
        <v>0</v>
      </c>
      <c r="AM13" s="23" t="str">
        <f>IF(SUMPRODUCT($J$17:AL$17,$J13:AL13)&lt;0.5, "Pending", IF(AL13&lt;0.5, "Complete", "In Progress"))</f>
        <v>Pending</v>
      </c>
      <c r="AN13" s="22">
        <v>0</v>
      </c>
      <c r="AO13" s="22">
        <f t="shared" si="56"/>
        <v>0</v>
      </c>
      <c r="AP13" s="23" t="str">
        <f>IF(SUMPRODUCT($J$17:AO$17,$J13:AO13)&lt;0.5, "Pending", IF(AO13&lt;0.5, "Complete", "In Progress"))</f>
        <v>Pending</v>
      </c>
      <c r="AQ13" s="22">
        <v>0</v>
      </c>
      <c r="AR13" s="22">
        <f t="shared" si="57"/>
        <v>0</v>
      </c>
      <c r="AS13" s="23" t="str">
        <f>IF(SUMPRODUCT($J$17:AR$17,$J13:AR13)&lt;0.5, "Pending", IF(AR13&lt;0.5, "Complete", "In Progress"))</f>
        <v>Pending</v>
      </c>
      <c r="AT13" s="22">
        <v>0</v>
      </c>
      <c r="AU13" s="22">
        <f t="shared" si="58"/>
        <v>0</v>
      </c>
      <c r="AV13" s="23" t="str">
        <f>IF(SUMPRODUCT($J$17:AU$17,$J13:AU13)&lt;0.5, "Pending", IF(AU13&lt;0.5, "Complete", "In Progress"))</f>
        <v>Pending</v>
      </c>
      <c r="AW13" s="22">
        <v>0</v>
      </c>
      <c r="AX13" s="22">
        <f t="shared" si="59"/>
        <v>0</v>
      </c>
      <c r="AY13" s="23" t="str">
        <f>IF(SUMPRODUCT($J$17:AX$17,$J13:AX13)&lt;0.5,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IF(SUMPRODUCT($J$17:BA$17,$J13:BA13)&lt;0.5, "Pending", IF(BA13&lt;0.5, "Complete", "In Progress"))</f>
        <v>#REF!</v>
      </c>
      <c r="BC13" s="22">
        <v>0</v>
      </c>
      <c r="BD13" s="22" t="e">
        <f t="shared" si="60"/>
        <v>#REF!</v>
      </c>
      <c r="BE13" s="23" t="e">
        <f>IF(SUMPRODUCT($J$17:BD$17,$J13:BD13)&lt;0.5, "Pending", IF(BD13&lt;0.5, "Complete", "In Progress"))</f>
        <v>#REF!</v>
      </c>
      <c r="BF13" s="22">
        <v>0</v>
      </c>
      <c r="BG13" s="22" t="e">
        <f t="shared" si="61"/>
        <v>#REF!</v>
      </c>
      <c r="BH13" s="23" t="e">
        <f>IF(SUMPRODUCT($J$17:BG$17,$J13:BG13)&lt;0.5, "Pending", IF(BG13&lt;0.5, "Complete", "In Progress"))</f>
        <v>#REF!</v>
      </c>
      <c r="BI13" s="22">
        <v>0</v>
      </c>
      <c r="BJ13" s="22" t="e">
        <f t="shared" si="62"/>
        <v>#REF!</v>
      </c>
      <c r="BK13" s="23" t="e">
        <f>IF(SUMPRODUCT($J$17:BJ$17,$J13:BJ13)&lt;0.5, "Pending", IF(BJ13&lt;0.5, "Complete", "In Progress"))</f>
        <v>#REF!</v>
      </c>
      <c r="BL13" s="22">
        <v>0</v>
      </c>
      <c r="BM13" s="22" t="e">
        <f t="shared" si="63"/>
        <v>#REF!</v>
      </c>
      <c r="BN13" s="23" t="e">
        <f>IF(SUMPRODUCT($J$17:BM$17,$J13:BM13)&lt;0.5, "Pending", IF(BM13&lt;0.5, "Complete", "In Progress"))</f>
        <v>#REF!</v>
      </c>
      <c r="BO13" s="22">
        <v>0</v>
      </c>
      <c r="BP13" s="22" t="e">
        <f t="shared" si="64"/>
        <v>#REF!</v>
      </c>
      <c r="BQ13" s="23" t="e">
        <f>IF(SUMPRODUCT($J$17:BP$17,$J13:BP13)&lt;0.5, "Pending", IF(BP13&lt;0.5, "Complete", "In Progress"))</f>
        <v>#REF!</v>
      </c>
      <c r="BR13" s="22">
        <v>0</v>
      </c>
      <c r="BS13" s="22" t="e">
        <f t="shared" si="65"/>
        <v>#REF!</v>
      </c>
      <c r="BT13" s="23" t="e">
        <f>IF(SUMPRODUCT($J$17:BS$17,$J13:BS13)&lt;0.5, "Pending", IF(BS13&lt;0.5, "Complete", "In Progress"))</f>
        <v>#REF!</v>
      </c>
      <c r="BU13" s="22">
        <v>0</v>
      </c>
      <c r="BV13" s="22" t="e">
        <f t="shared" si="66"/>
        <v>#REF!</v>
      </c>
      <c r="BW13" s="23" t="e">
        <f>IF(SUMPRODUCT($J$17:BV$17,$J13:BV13)&lt;0.5, "Pending", IF(BV13&lt;0.5, "Complete", "In Progress"))</f>
        <v>#REF!</v>
      </c>
      <c r="BX13" s="22">
        <v>0</v>
      </c>
      <c r="BY13" s="22" t="e">
        <f t="shared" si="67"/>
        <v>#REF!</v>
      </c>
      <c r="BZ13" s="23" t="e">
        <f>IF(SUMPRODUCT($J$17:BY$17,$J13:BY13)&lt;0.5, "Pending", IF(BY13&lt;0.5, "Complete", "In Progress"))</f>
        <v>#REF!</v>
      </c>
      <c r="CA13" s="22">
        <v>0</v>
      </c>
      <c r="CB13" s="22" t="e">
        <f t="shared" si="68"/>
        <v>#REF!</v>
      </c>
      <c r="CC13" s="23" t="e">
        <f>IF(SUMPRODUCT($J$17:CB$17,$J13:CB13)&lt;0.5, "Pending", IF(CB13&lt;0.5, "Complete", "In Progress"))</f>
        <v>#REF!</v>
      </c>
      <c r="CD13" s="24"/>
      <c r="CE13" s="25">
        <f>SUMPRODUCT($H$17:AY$17,$H13:AY13)</f>
        <v>0</v>
      </c>
    </row>
    <row r="14" spans="1:83" x14ac:dyDescent="0.2">
      <c r="A14" s="16"/>
      <c r="B14" s="16"/>
      <c r="C14" s="16"/>
      <c r="D14" s="17"/>
      <c r="E14" s="177"/>
      <c r="F14" s="18" t="s">
        <v>132</v>
      </c>
      <c r="G14" s="19">
        <f t="shared" ca="1" si="0"/>
        <v>0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IF(SUMPRODUCT($J$17:K$17,$J14:K14)&lt;0.5, "Pending", IF(K14&lt;0.5, "Complete", "In Progress"))</f>
        <v>Pending</v>
      </c>
      <c r="M14" s="22">
        <v>0</v>
      </c>
      <c r="N14" s="22">
        <f t="shared" si="47"/>
        <v>0</v>
      </c>
      <c r="O14" s="23" t="str">
        <f>IF(SUMPRODUCT($J$17:N$17,$J14:N14)&lt;0.5, "Pending", IF(N14&lt;0.5, "Complete", "In Progress"))</f>
        <v>Pending</v>
      </c>
      <c r="P14" s="22">
        <v>0</v>
      </c>
      <c r="Q14" s="22">
        <f t="shared" si="48"/>
        <v>0</v>
      </c>
      <c r="R14" s="23" t="str">
        <f>IF(SUMPRODUCT($J$17:Q$17,$J14:Q14)&lt;0.5, "Pending", IF(Q14&lt;0.5, "Complete", "In Progress"))</f>
        <v>Pending</v>
      </c>
      <c r="S14" s="22">
        <v>0</v>
      </c>
      <c r="T14" s="22">
        <f t="shared" si="49"/>
        <v>0</v>
      </c>
      <c r="U14" s="23" t="str">
        <f>IF(SUMPRODUCT($J$17:T$17,$J14:T14)&lt;0.5, "Pending", IF(T14&lt;0.5, "Complete", "In Progress"))</f>
        <v>Pending</v>
      </c>
      <c r="V14" s="22">
        <v>0</v>
      </c>
      <c r="W14" s="22">
        <f t="shared" si="50"/>
        <v>0</v>
      </c>
      <c r="X14" s="23" t="str">
        <f>IF(SUMPRODUCT($J$17:W$17,$J14:W14)&lt;0.5, "Pending", IF(W14&lt;0.5, "Complete", "In Progress"))</f>
        <v>Pending</v>
      </c>
      <c r="Y14" s="22">
        <v>0</v>
      </c>
      <c r="Z14" s="22">
        <f t="shared" si="51"/>
        <v>0</v>
      </c>
      <c r="AA14" s="23" t="str">
        <f>IF(SUMPRODUCT($J$17:Z$17,$J14:Z14)&lt;0.5, "Pending", IF(Z14&lt;0.5, "Complete", "In Progress"))</f>
        <v>Pending</v>
      </c>
      <c r="AB14" s="22">
        <v>0</v>
      </c>
      <c r="AC14" s="22">
        <f t="shared" si="52"/>
        <v>0</v>
      </c>
      <c r="AD14" s="23" t="str">
        <f>IF(SUMPRODUCT($J$17:AC$17,$J14:AC14)&lt;0.5, "Pending", IF(AC14&lt;0.5, "Complete", "In Progress"))</f>
        <v>Pending</v>
      </c>
      <c r="AE14" s="22">
        <v>0</v>
      </c>
      <c r="AF14" s="22">
        <f t="shared" si="53"/>
        <v>0</v>
      </c>
      <c r="AG14" s="23" t="str">
        <f>IF(SUMPRODUCT($J$17:AF$17,$J14:AF14)&lt;0.5, "Pending", IF(AF14&lt;0.5, "Complete", "In Progress"))</f>
        <v>Pending</v>
      </c>
      <c r="AH14" s="22">
        <v>0</v>
      </c>
      <c r="AI14" s="22">
        <f t="shared" si="54"/>
        <v>0</v>
      </c>
      <c r="AJ14" s="23" t="str">
        <f>IF(SUMPRODUCT($J$17:AI$17,$J14:AI14)&lt;0.5, "Pending", IF(AI14&lt;0.5, "Complete", "In Progress"))</f>
        <v>Pending</v>
      </c>
      <c r="AK14" s="22">
        <v>0</v>
      </c>
      <c r="AL14" s="22">
        <f t="shared" si="55"/>
        <v>0</v>
      </c>
      <c r="AM14" s="23" t="str">
        <f>IF(SUMPRODUCT($J$17:AL$17,$J14:AL14)&lt;0.5, "Pending", IF(AL14&lt;0.5, "Complete", "In Progress"))</f>
        <v>Pending</v>
      </c>
      <c r="AN14" s="22">
        <v>0</v>
      </c>
      <c r="AO14" s="22">
        <f t="shared" si="56"/>
        <v>0</v>
      </c>
      <c r="AP14" s="23" t="str">
        <f>IF(SUMPRODUCT($J$17:AO$17,$J14:AO14)&lt;0.5, "Pending", IF(AO14&lt;0.5, "Complete", "In Progress"))</f>
        <v>Pending</v>
      </c>
      <c r="AQ14" s="22">
        <v>0</v>
      </c>
      <c r="AR14" s="22">
        <f t="shared" si="57"/>
        <v>0</v>
      </c>
      <c r="AS14" s="23" t="str">
        <f>IF(SUMPRODUCT($J$17:AR$17,$J14:AR14)&lt;0.5, "Pending", IF(AR14&lt;0.5, "Complete", "In Progress"))</f>
        <v>Pending</v>
      </c>
      <c r="AT14" s="22">
        <v>0</v>
      </c>
      <c r="AU14" s="22">
        <f t="shared" si="58"/>
        <v>0</v>
      </c>
      <c r="AV14" s="23" t="str">
        <f>IF(SUMPRODUCT($J$17:AU$17,$J14:AU14)&lt;0.5, "Pending", IF(AU14&lt;0.5, "Complete", "In Progress"))</f>
        <v>Pending</v>
      </c>
      <c r="AW14" s="22">
        <v>0</v>
      </c>
      <c r="AX14" s="22">
        <f t="shared" si="59"/>
        <v>0</v>
      </c>
      <c r="AY14" s="23" t="str">
        <f>IF(SUMPRODUCT($J$17:AX$17,$J14:AX14)&lt;0.5,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IF(SUMPRODUCT($J$17:BA$17,$J14:BA14)&lt;0.5, "Pending", IF(BA14&lt;0.5, "Complete", "In Progress"))</f>
        <v>#REF!</v>
      </c>
      <c r="BC14" s="22">
        <v>0</v>
      </c>
      <c r="BD14" s="22" t="e">
        <f t="shared" si="60"/>
        <v>#REF!</v>
      </c>
      <c r="BE14" s="23" t="e">
        <f>IF(SUMPRODUCT($J$17:BD$17,$J14:BD14)&lt;0.5, "Pending", IF(BD14&lt;0.5, "Complete", "In Progress"))</f>
        <v>#REF!</v>
      </c>
      <c r="BF14" s="22">
        <v>0</v>
      </c>
      <c r="BG14" s="22" t="e">
        <f t="shared" si="61"/>
        <v>#REF!</v>
      </c>
      <c r="BH14" s="23" t="e">
        <f>IF(SUMPRODUCT($J$17:BG$17,$J14:BG14)&lt;0.5, "Pending", IF(BG14&lt;0.5, "Complete", "In Progress"))</f>
        <v>#REF!</v>
      </c>
      <c r="BI14" s="22">
        <v>0</v>
      </c>
      <c r="BJ14" s="22" t="e">
        <f t="shared" si="62"/>
        <v>#REF!</v>
      </c>
      <c r="BK14" s="23" t="e">
        <f>IF(SUMPRODUCT($J$17:BJ$17,$J14:BJ14)&lt;0.5, "Pending", IF(BJ14&lt;0.5, "Complete", "In Progress"))</f>
        <v>#REF!</v>
      </c>
      <c r="BL14" s="22">
        <v>0</v>
      </c>
      <c r="BM14" s="22" t="e">
        <f t="shared" si="63"/>
        <v>#REF!</v>
      </c>
      <c r="BN14" s="23" t="e">
        <f>IF(SUMPRODUCT($J$17:BM$17,$J14:BM14)&lt;0.5, "Pending", IF(BM14&lt;0.5, "Complete", "In Progress"))</f>
        <v>#REF!</v>
      </c>
      <c r="BO14" s="22">
        <v>0</v>
      </c>
      <c r="BP14" s="22" t="e">
        <f t="shared" si="64"/>
        <v>#REF!</v>
      </c>
      <c r="BQ14" s="23" t="e">
        <f>IF(SUMPRODUCT($J$17:BP$17,$J14:BP14)&lt;0.5, "Pending", IF(BP14&lt;0.5, "Complete", "In Progress"))</f>
        <v>#REF!</v>
      </c>
      <c r="BR14" s="22">
        <v>0</v>
      </c>
      <c r="BS14" s="22" t="e">
        <f t="shared" si="65"/>
        <v>#REF!</v>
      </c>
      <c r="BT14" s="23" t="e">
        <f>IF(SUMPRODUCT($J$17:BS$17,$J14:BS14)&lt;0.5, "Pending", IF(BS14&lt;0.5, "Complete", "In Progress"))</f>
        <v>#REF!</v>
      </c>
      <c r="BU14" s="22">
        <v>0</v>
      </c>
      <c r="BV14" s="22" t="e">
        <f t="shared" si="66"/>
        <v>#REF!</v>
      </c>
      <c r="BW14" s="23" t="e">
        <f>IF(SUMPRODUCT($J$17:BV$17,$J14:BV14)&lt;0.5, "Pending", IF(BV14&lt;0.5, "Complete", "In Progress"))</f>
        <v>#REF!</v>
      </c>
      <c r="BX14" s="22">
        <v>0</v>
      </c>
      <c r="BY14" s="22" t="e">
        <f t="shared" si="67"/>
        <v>#REF!</v>
      </c>
      <c r="BZ14" s="23" t="e">
        <f>IF(SUMPRODUCT($J$17:BY$17,$J14:BY14)&lt;0.5, "Pending", IF(BY14&lt;0.5, "Complete", "In Progress"))</f>
        <v>#REF!</v>
      </c>
      <c r="CA14" s="22">
        <v>0</v>
      </c>
      <c r="CB14" s="22" t="e">
        <f t="shared" si="68"/>
        <v>#REF!</v>
      </c>
      <c r="CC14" s="23" t="e">
        <f>IF(SUMPRODUCT($J$17:CB$17,$J14:CB14)&lt;0.5, "Pending", IF(CB14&lt;0.5, "Complete", "In Progress"))</f>
        <v>#REF!</v>
      </c>
      <c r="CD14" s="24"/>
      <c r="CE14" s="25">
        <f>SUMPRODUCT($H$17:AY$17,$H14:AY14)</f>
        <v>0</v>
      </c>
    </row>
    <row r="15" spans="1:83" hidden="1" x14ac:dyDescent="0.2">
      <c r="A15" s="26"/>
      <c r="B15" s="26"/>
      <c r="C15" s="26"/>
      <c r="D15" s="26"/>
      <c r="E15" s="26"/>
      <c r="F15" s="26"/>
      <c r="G15" s="26"/>
      <c r="H15" s="26"/>
      <c r="I15" s="26"/>
      <c r="J15" s="24"/>
      <c r="K15" s="24"/>
      <c r="L15" s="24"/>
      <c r="M15" s="27"/>
      <c r="N15" s="27"/>
      <c r="O15" s="24"/>
      <c r="P15" s="27"/>
      <c r="Q15" s="27"/>
      <c r="R15" s="24"/>
      <c r="S15" s="27"/>
      <c r="T15" s="27"/>
      <c r="U15" s="27"/>
      <c r="V15" s="27"/>
      <c r="W15" s="27"/>
      <c r="X15" s="24"/>
      <c r="Y15" s="27"/>
      <c r="Z15" s="27"/>
      <c r="AA15" s="24"/>
      <c r="AB15" s="27"/>
      <c r="AC15" s="27"/>
      <c r="AD15" s="24"/>
      <c r="AE15" s="27"/>
      <c r="AF15" s="27"/>
      <c r="AG15" s="24"/>
      <c r="AH15" s="27"/>
      <c r="AI15" s="27"/>
      <c r="AJ15" s="24"/>
      <c r="AK15" s="27"/>
      <c r="AL15" s="27"/>
      <c r="AM15" s="24"/>
      <c r="AN15" s="27"/>
      <c r="AO15" s="27"/>
      <c r="AP15" s="24"/>
      <c r="AQ15" s="27"/>
      <c r="AR15" s="27"/>
      <c r="AS15" s="24"/>
      <c r="AT15" s="27"/>
      <c r="AU15" s="27"/>
      <c r="AV15" s="24"/>
      <c r="AW15" s="27"/>
      <c r="AX15" s="27"/>
      <c r="AY15" s="24"/>
      <c r="AZ15" s="27"/>
      <c r="BA15" s="27"/>
      <c r="BB15" s="24"/>
      <c r="BC15" s="27"/>
      <c r="BD15" s="27"/>
      <c r="BE15" s="24"/>
      <c r="BF15" s="27"/>
      <c r="BG15" s="27"/>
      <c r="BH15" s="24"/>
      <c r="BI15" s="27"/>
      <c r="BJ15" s="27"/>
      <c r="BK15" s="24"/>
      <c r="BL15" s="27"/>
      <c r="BM15" s="27"/>
      <c r="BN15" s="24"/>
      <c r="BO15" s="27"/>
      <c r="BP15" s="27"/>
      <c r="BQ15" s="24"/>
      <c r="BR15" s="27"/>
      <c r="BS15" s="27"/>
      <c r="BT15" s="24"/>
      <c r="BU15" s="27"/>
      <c r="BV15" s="27"/>
      <c r="BW15" s="24"/>
      <c r="BX15" s="27"/>
      <c r="BY15" s="27"/>
      <c r="BZ15" s="24"/>
      <c r="CA15" s="27"/>
      <c r="CB15" s="27"/>
      <c r="CC15" s="24"/>
      <c r="CD15" s="24"/>
      <c r="CE15" s="28">
        <f>SUMPRODUCT($H$18:BK$18,$H15:BK15)</f>
        <v>0</v>
      </c>
    </row>
    <row r="16" spans="1:83" x14ac:dyDescent="0.2">
      <c r="A16" s="29"/>
      <c r="B16" s="29"/>
      <c r="C16" s="29"/>
      <c r="D16" s="29"/>
      <c r="E16" s="29"/>
      <c r="F16" s="29"/>
      <c r="G16" s="1"/>
      <c r="H16" s="29"/>
      <c r="I16" s="29"/>
      <c r="J16" s="188" t="s">
        <v>9</v>
      </c>
      <c r="K16" s="189"/>
      <c r="L16" s="30">
        <v>1</v>
      </c>
      <c r="M16" s="186" t="s">
        <v>9</v>
      </c>
      <c r="N16" s="190"/>
      <c r="O16" s="30">
        <f>L16+1</f>
        <v>2</v>
      </c>
      <c r="P16" s="186" t="s">
        <v>9</v>
      </c>
      <c r="Q16" s="190"/>
      <c r="R16" s="30">
        <f>O16+1</f>
        <v>3</v>
      </c>
      <c r="S16" s="186" t="s">
        <v>9</v>
      </c>
      <c r="T16" s="190"/>
      <c r="U16" s="30">
        <f>R16+1</f>
        <v>4</v>
      </c>
      <c r="V16" s="186" t="s">
        <v>9</v>
      </c>
      <c r="W16" s="190"/>
      <c r="X16" s="30">
        <f>U16+1</f>
        <v>5</v>
      </c>
      <c r="Y16" s="186" t="s">
        <v>9</v>
      </c>
      <c r="Z16" s="186"/>
      <c r="AA16" s="30">
        <f>X16+1</f>
        <v>6</v>
      </c>
      <c r="AB16" s="186" t="s">
        <v>9</v>
      </c>
      <c r="AC16" s="186"/>
      <c r="AD16" s="30">
        <f>AA16+1</f>
        <v>7</v>
      </c>
      <c r="AE16" s="186" t="s">
        <v>9</v>
      </c>
      <c r="AF16" s="186"/>
      <c r="AG16" s="30">
        <f>AD16+1</f>
        <v>8</v>
      </c>
      <c r="AH16" s="186" t="s">
        <v>9</v>
      </c>
      <c r="AI16" s="186"/>
      <c r="AJ16" s="30">
        <f>AG16+1</f>
        <v>9</v>
      </c>
      <c r="AK16" s="186" t="s">
        <v>9</v>
      </c>
      <c r="AL16" s="186"/>
      <c r="AM16" s="30">
        <f>AJ16+1</f>
        <v>10</v>
      </c>
      <c r="AN16" s="186" t="s">
        <v>9</v>
      </c>
      <c r="AO16" s="186"/>
      <c r="AP16" s="30">
        <f>AM16+1</f>
        <v>11</v>
      </c>
      <c r="AQ16" s="186" t="s">
        <v>9</v>
      </c>
      <c r="AR16" s="186"/>
      <c r="AS16" s="30">
        <f>AP16+1</f>
        <v>12</v>
      </c>
      <c r="AT16" s="186" t="s">
        <v>9</v>
      </c>
      <c r="AU16" s="186"/>
      <c r="AV16" s="30">
        <f>AS16+1</f>
        <v>13</v>
      </c>
      <c r="AW16" s="186" t="s">
        <v>9</v>
      </c>
      <c r="AX16" s="186"/>
      <c r="AY16" s="30">
        <f>AV16+1</f>
        <v>14</v>
      </c>
      <c r="AZ16" s="186" t="s">
        <v>9</v>
      </c>
      <c r="BA16" s="190"/>
      <c r="BB16" s="30" t="e">
        <f>#REF!+1</f>
        <v>#REF!</v>
      </c>
      <c r="BC16" s="186" t="s">
        <v>9</v>
      </c>
      <c r="BD16" s="190"/>
      <c r="BE16" s="30" t="e">
        <f>BB16+1</f>
        <v>#REF!</v>
      </c>
      <c r="BF16" s="186" t="s">
        <v>9</v>
      </c>
      <c r="BG16" s="190"/>
      <c r="BH16" s="30" t="e">
        <f>BE16+1</f>
        <v>#REF!</v>
      </c>
      <c r="BI16" s="186" t="s">
        <v>9</v>
      </c>
      <c r="BJ16" s="190"/>
      <c r="BK16" s="30" t="e">
        <f>BH16+1</f>
        <v>#REF!</v>
      </c>
      <c r="BL16" s="186" t="s">
        <v>9</v>
      </c>
      <c r="BM16" s="190"/>
      <c r="BN16" s="30" t="e">
        <f>BK16+1</f>
        <v>#REF!</v>
      </c>
      <c r="BO16" s="186" t="s">
        <v>9</v>
      </c>
      <c r="BP16" s="190"/>
      <c r="BQ16" s="30" t="e">
        <f>BN16+1</f>
        <v>#REF!</v>
      </c>
      <c r="BR16" s="186" t="s">
        <v>9</v>
      </c>
      <c r="BS16" s="190"/>
      <c r="BT16" s="30" t="e">
        <f>BQ16+1</f>
        <v>#REF!</v>
      </c>
      <c r="BU16" s="186" t="s">
        <v>9</v>
      </c>
      <c r="BV16" s="190"/>
      <c r="BW16" s="30" t="e">
        <f>BT16+1</f>
        <v>#REF!</v>
      </c>
      <c r="BX16" s="186" t="s">
        <v>9</v>
      </c>
      <c r="BY16" s="190"/>
      <c r="BZ16" s="30" t="e">
        <f>BW16+1</f>
        <v>#REF!</v>
      </c>
      <c r="CA16" s="186" t="s">
        <v>9</v>
      </c>
      <c r="CB16" s="190"/>
      <c r="CC16" s="30" t="e">
        <f>BZ16+1</f>
        <v>#REF!</v>
      </c>
      <c r="CD16" s="30"/>
      <c r="CE16" s="31"/>
    </row>
    <row r="17" spans="1:83" hidden="1" x14ac:dyDescent="0.2">
      <c r="A17" s="32"/>
      <c r="B17" s="32"/>
      <c r="C17" s="32"/>
      <c r="D17" s="32"/>
      <c r="E17" s="32" t="s">
        <v>11</v>
      </c>
      <c r="F17" s="32"/>
      <c r="G17" s="32"/>
      <c r="H17" s="32"/>
      <c r="I17" s="32"/>
      <c r="J17" s="155">
        <v>1</v>
      </c>
      <c r="K17" s="155">
        <v>0</v>
      </c>
      <c r="L17" s="32">
        <v>0</v>
      </c>
      <c r="M17" s="32">
        <v>1</v>
      </c>
      <c r="N17" s="32">
        <v>0</v>
      </c>
      <c r="O17" s="32">
        <v>0</v>
      </c>
      <c r="P17" s="32">
        <v>1</v>
      </c>
      <c r="Q17" s="32">
        <v>0</v>
      </c>
      <c r="R17" s="32">
        <v>0</v>
      </c>
      <c r="S17" s="32">
        <v>1</v>
      </c>
      <c r="T17" s="32">
        <v>0</v>
      </c>
      <c r="U17" s="32">
        <v>0</v>
      </c>
      <c r="V17" s="32">
        <v>1</v>
      </c>
      <c r="W17" s="32">
        <v>0</v>
      </c>
      <c r="X17" s="32">
        <v>0</v>
      </c>
      <c r="Y17" s="32">
        <v>1</v>
      </c>
      <c r="Z17" s="32">
        <v>0</v>
      </c>
      <c r="AA17" s="32">
        <v>0</v>
      </c>
      <c r="AB17" s="32">
        <v>1</v>
      </c>
      <c r="AC17" s="32">
        <v>0</v>
      </c>
      <c r="AD17" s="32">
        <v>0</v>
      </c>
      <c r="AE17" s="32">
        <v>1</v>
      </c>
      <c r="AF17" s="32">
        <v>0</v>
      </c>
      <c r="AG17" s="32">
        <v>0</v>
      </c>
      <c r="AH17" s="32">
        <v>1</v>
      </c>
      <c r="AI17" s="32">
        <v>0</v>
      </c>
      <c r="AJ17" s="32">
        <v>0</v>
      </c>
      <c r="AK17" s="32">
        <v>1</v>
      </c>
      <c r="AL17" s="32">
        <v>0</v>
      </c>
      <c r="AM17" s="32">
        <v>0</v>
      </c>
      <c r="AN17" s="32">
        <v>1</v>
      </c>
      <c r="AO17" s="32">
        <v>0</v>
      </c>
      <c r="AP17" s="32">
        <v>0</v>
      </c>
      <c r="AQ17" s="32">
        <v>1</v>
      </c>
      <c r="AR17" s="32">
        <v>0</v>
      </c>
      <c r="AS17" s="32">
        <v>0</v>
      </c>
      <c r="AT17" s="32">
        <v>1</v>
      </c>
      <c r="AU17" s="32">
        <v>0</v>
      </c>
      <c r="AV17" s="32">
        <v>0</v>
      </c>
      <c r="AW17" s="32">
        <v>1</v>
      </c>
      <c r="AX17" s="32">
        <v>0</v>
      </c>
      <c r="AY17" s="32">
        <v>0</v>
      </c>
      <c r="AZ17" s="32">
        <v>1</v>
      </c>
      <c r="BA17" s="32">
        <v>0</v>
      </c>
      <c r="BB17" s="32">
        <v>0</v>
      </c>
      <c r="BC17" s="32">
        <v>1</v>
      </c>
      <c r="BD17" s="32">
        <v>0</v>
      </c>
      <c r="BE17" s="32">
        <v>0</v>
      </c>
      <c r="BF17" s="32">
        <v>1</v>
      </c>
      <c r="BG17" s="32">
        <v>0</v>
      </c>
      <c r="BH17" s="32">
        <v>0</v>
      </c>
      <c r="BI17" s="32">
        <v>1</v>
      </c>
      <c r="BJ17" s="32">
        <v>0</v>
      </c>
      <c r="BK17" s="32">
        <v>0</v>
      </c>
      <c r="BL17" s="32">
        <v>1</v>
      </c>
      <c r="BM17" s="32">
        <v>0</v>
      </c>
      <c r="BN17" s="32">
        <v>0</v>
      </c>
      <c r="BO17" s="32">
        <v>1</v>
      </c>
      <c r="BP17" s="32">
        <v>0</v>
      </c>
      <c r="BQ17" s="32">
        <v>0</v>
      </c>
      <c r="BR17" s="32">
        <v>1</v>
      </c>
      <c r="BS17" s="32">
        <v>0</v>
      </c>
      <c r="BT17" s="32">
        <v>0</v>
      </c>
      <c r="BU17" s="32">
        <v>1</v>
      </c>
      <c r="BV17" s="32">
        <v>0</v>
      </c>
      <c r="BW17" s="32">
        <v>0</v>
      </c>
      <c r="BX17" s="32">
        <v>1</v>
      </c>
      <c r="BY17" s="32">
        <v>0</v>
      </c>
      <c r="BZ17" s="32">
        <v>0</v>
      </c>
      <c r="CA17" s="32">
        <v>1</v>
      </c>
      <c r="CB17" s="32">
        <v>0</v>
      </c>
      <c r="CC17" s="32">
        <v>0</v>
      </c>
      <c r="CD17" s="32"/>
      <c r="CE17" s="33"/>
    </row>
    <row r="18" spans="1:83" hidden="1" x14ac:dyDescent="0.2">
      <c r="A18" s="34"/>
      <c r="B18" s="34"/>
      <c r="C18" s="34"/>
      <c r="D18" s="34"/>
      <c r="E18" s="32" t="s">
        <v>13</v>
      </c>
      <c r="F18" s="32"/>
      <c r="G18" s="32"/>
      <c r="H18" s="32"/>
      <c r="I18" s="32"/>
      <c r="J18" s="24">
        <v>0</v>
      </c>
      <c r="K18" s="155">
        <v>1</v>
      </c>
      <c r="L18" s="32">
        <v>0</v>
      </c>
      <c r="M18" s="35">
        <v>0</v>
      </c>
      <c r="N18" s="32">
        <v>1</v>
      </c>
      <c r="O18" s="32">
        <v>0</v>
      </c>
      <c r="P18" s="35">
        <v>0</v>
      </c>
      <c r="Q18" s="32">
        <v>1</v>
      </c>
      <c r="R18" s="32">
        <v>0</v>
      </c>
      <c r="S18" s="35">
        <v>0</v>
      </c>
      <c r="T18" s="32">
        <v>1</v>
      </c>
      <c r="U18" s="32">
        <v>0</v>
      </c>
      <c r="V18" s="35">
        <v>0</v>
      </c>
      <c r="W18" s="32">
        <v>1</v>
      </c>
      <c r="X18" s="32">
        <v>0</v>
      </c>
      <c r="Y18" s="35">
        <v>0</v>
      </c>
      <c r="Z18" s="32">
        <v>1</v>
      </c>
      <c r="AA18" s="32">
        <v>0</v>
      </c>
      <c r="AB18" s="35">
        <v>0</v>
      </c>
      <c r="AC18" s="32">
        <v>1</v>
      </c>
      <c r="AD18" s="32">
        <v>0</v>
      </c>
      <c r="AE18" s="35">
        <v>0</v>
      </c>
      <c r="AF18" s="32">
        <v>1</v>
      </c>
      <c r="AG18" s="32">
        <v>0</v>
      </c>
      <c r="AH18" s="35">
        <v>0</v>
      </c>
      <c r="AI18" s="32">
        <v>1</v>
      </c>
      <c r="AJ18" s="32">
        <v>0</v>
      </c>
      <c r="AK18" s="35">
        <v>0</v>
      </c>
      <c r="AL18" s="32">
        <v>1</v>
      </c>
      <c r="AM18" s="32">
        <v>0</v>
      </c>
      <c r="AN18" s="35">
        <v>0</v>
      </c>
      <c r="AO18" s="32">
        <v>1</v>
      </c>
      <c r="AP18" s="32">
        <v>0</v>
      </c>
      <c r="AQ18" s="35">
        <v>0</v>
      </c>
      <c r="AR18" s="32">
        <v>1</v>
      </c>
      <c r="AS18" s="32">
        <v>0</v>
      </c>
      <c r="AT18" s="35">
        <v>0</v>
      </c>
      <c r="AU18" s="32">
        <v>1</v>
      </c>
      <c r="AV18" s="32">
        <v>0</v>
      </c>
      <c r="AW18" s="35">
        <v>0</v>
      </c>
      <c r="AX18" s="32">
        <v>1</v>
      </c>
      <c r="AY18" s="32">
        <v>0</v>
      </c>
      <c r="AZ18" s="35">
        <v>0</v>
      </c>
      <c r="BA18" s="32">
        <v>1</v>
      </c>
      <c r="BB18" s="32">
        <v>0</v>
      </c>
      <c r="BC18" s="35">
        <v>0</v>
      </c>
      <c r="BD18" s="32">
        <v>1</v>
      </c>
      <c r="BE18" s="32">
        <v>0</v>
      </c>
      <c r="BF18" s="35">
        <v>0</v>
      </c>
      <c r="BG18" s="32">
        <v>1</v>
      </c>
      <c r="BH18" s="32">
        <v>0</v>
      </c>
      <c r="BI18" s="35">
        <v>0</v>
      </c>
      <c r="BJ18" s="32">
        <v>1</v>
      </c>
      <c r="BK18" s="32">
        <v>0</v>
      </c>
      <c r="BL18" s="35">
        <v>0</v>
      </c>
      <c r="BM18" s="32">
        <v>1</v>
      </c>
      <c r="BN18" s="32">
        <v>0</v>
      </c>
      <c r="BO18" s="35">
        <v>0</v>
      </c>
      <c r="BP18" s="32">
        <v>1</v>
      </c>
      <c r="BQ18" s="32">
        <v>0</v>
      </c>
      <c r="BR18" s="35">
        <v>0</v>
      </c>
      <c r="BS18" s="32">
        <v>1</v>
      </c>
      <c r="BT18" s="32">
        <v>0</v>
      </c>
      <c r="BU18" s="35">
        <v>0</v>
      </c>
      <c r="BV18" s="32">
        <v>1</v>
      </c>
      <c r="BW18" s="32">
        <v>0</v>
      </c>
      <c r="BX18" s="35">
        <v>0</v>
      </c>
      <c r="BY18" s="32">
        <v>1</v>
      </c>
      <c r="BZ18" s="32">
        <v>0</v>
      </c>
      <c r="CA18" s="35">
        <v>0</v>
      </c>
      <c r="CB18" s="32">
        <v>1</v>
      </c>
      <c r="CC18" s="32">
        <v>0</v>
      </c>
      <c r="CD18" s="32"/>
    </row>
    <row r="19" spans="1:83" hidden="1" x14ac:dyDescent="0.2">
      <c r="A19" s="32"/>
      <c r="B19" s="32"/>
      <c r="C19" s="32"/>
      <c r="D19" s="32"/>
      <c r="E19" s="36" t="s">
        <v>14</v>
      </c>
      <c r="F19" s="32"/>
      <c r="G19" s="32"/>
      <c r="H19" s="32"/>
      <c r="I19" s="32"/>
      <c r="J19" s="24">
        <v>0</v>
      </c>
      <c r="K19" s="155">
        <v>0</v>
      </c>
      <c r="L19" s="32">
        <v>1</v>
      </c>
      <c r="M19" s="35">
        <v>0</v>
      </c>
      <c r="N19" s="32">
        <v>0</v>
      </c>
      <c r="O19" s="32">
        <v>1</v>
      </c>
      <c r="P19" s="35">
        <v>0</v>
      </c>
      <c r="Q19" s="32">
        <v>0</v>
      </c>
      <c r="R19" s="32">
        <v>1</v>
      </c>
      <c r="S19" s="35">
        <v>0</v>
      </c>
      <c r="T19" s="32">
        <v>0</v>
      </c>
      <c r="U19" s="32">
        <v>1</v>
      </c>
      <c r="V19" s="35">
        <v>0</v>
      </c>
      <c r="W19" s="32">
        <v>0</v>
      </c>
      <c r="X19" s="32">
        <v>1</v>
      </c>
      <c r="Y19" s="35">
        <v>0</v>
      </c>
      <c r="Z19" s="32">
        <v>0</v>
      </c>
      <c r="AA19" s="32">
        <v>1</v>
      </c>
      <c r="AB19" s="35">
        <v>0</v>
      </c>
      <c r="AC19" s="32">
        <v>0</v>
      </c>
      <c r="AD19" s="32">
        <v>1</v>
      </c>
      <c r="AE19" s="35">
        <v>0</v>
      </c>
      <c r="AF19" s="32">
        <v>0</v>
      </c>
      <c r="AG19" s="32">
        <v>1</v>
      </c>
      <c r="AH19" s="35">
        <v>0</v>
      </c>
      <c r="AI19" s="32">
        <v>0</v>
      </c>
      <c r="AJ19" s="32">
        <v>1</v>
      </c>
      <c r="AK19" s="35">
        <v>0</v>
      </c>
      <c r="AL19" s="32">
        <v>0</v>
      </c>
      <c r="AM19" s="32">
        <v>1</v>
      </c>
      <c r="AN19" s="35">
        <v>0</v>
      </c>
      <c r="AO19" s="32">
        <v>0</v>
      </c>
      <c r="AP19" s="32">
        <v>1</v>
      </c>
      <c r="AQ19" s="35">
        <v>0</v>
      </c>
      <c r="AR19" s="32">
        <v>0</v>
      </c>
      <c r="AS19" s="32">
        <v>1</v>
      </c>
      <c r="AT19" s="35">
        <v>0</v>
      </c>
      <c r="AU19" s="32">
        <v>0</v>
      </c>
      <c r="AV19" s="32">
        <v>1</v>
      </c>
      <c r="AW19" s="35">
        <v>0</v>
      </c>
      <c r="AX19" s="32">
        <v>0</v>
      </c>
      <c r="AY19" s="32">
        <v>1</v>
      </c>
      <c r="AZ19" s="35">
        <v>0</v>
      </c>
      <c r="BA19" s="32">
        <v>0</v>
      </c>
      <c r="BB19" s="32">
        <v>1</v>
      </c>
      <c r="BC19" s="35">
        <v>0</v>
      </c>
      <c r="BD19" s="32">
        <v>0</v>
      </c>
      <c r="BE19" s="32">
        <v>1</v>
      </c>
      <c r="BF19" s="35">
        <v>0</v>
      </c>
      <c r="BG19" s="32">
        <v>0</v>
      </c>
      <c r="BH19" s="32">
        <v>1</v>
      </c>
      <c r="BI19" s="35">
        <v>0</v>
      </c>
      <c r="BJ19" s="32">
        <v>0</v>
      </c>
      <c r="BK19" s="32">
        <v>1</v>
      </c>
      <c r="BL19" s="35">
        <v>0</v>
      </c>
      <c r="BM19" s="32">
        <v>0</v>
      </c>
      <c r="BN19" s="32">
        <v>1</v>
      </c>
      <c r="BO19" s="35">
        <v>0</v>
      </c>
      <c r="BP19" s="32">
        <v>0</v>
      </c>
      <c r="BQ19" s="32">
        <v>1</v>
      </c>
      <c r="BR19" s="35">
        <v>0</v>
      </c>
      <c r="BS19" s="32">
        <v>0</v>
      </c>
      <c r="BT19" s="32">
        <v>1</v>
      </c>
      <c r="BU19" s="35">
        <v>0</v>
      </c>
      <c r="BV19" s="32">
        <v>0</v>
      </c>
      <c r="BW19" s="32">
        <v>1</v>
      </c>
      <c r="BX19" s="35">
        <v>0</v>
      </c>
      <c r="BY19" s="32">
        <v>0</v>
      </c>
      <c r="BZ19" s="32">
        <v>1</v>
      </c>
      <c r="CA19" s="35">
        <v>0</v>
      </c>
      <c r="CB19" s="32">
        <v>0</v>
      </c>
      <c r="CC19" s="32">
        <v>1</v>
      </c>
      <c r="CD19" s="32"/>
    </row>
    <row r="20" spans="1:83" x14ac:dyDescent="0.2">
      <c r="A20" s="37">
        <v>300</v>
      </c>
      <c r="B20" s="37">
        <v>300</v>
      </c>
      <c r="C20" s="37">
        <v>300</v>
      </c>
      <c r="D20" s="37" t="s">
        <v>89</v>
      </c>
      <c r="E20" s="38" t="s">
        <v>85</v>
      </c>
      <c r="F20" s="38"/>
      <c r="G20" s="38"/>
      <c r="H20" s="38"/>
      <c r="I20" s="39">
        <f>SUBTOTAL(109,I$5:I$15)</f>
        <v>73</v>
      </c>
      <c r="J20" s="156">
        <f>SUBTOTAL(109,J$5:J$15)</f>
        <v>0</v>
      </c>
      <c r="K20" s="156">
        <f>SUBTOTAL(109,K$5:K$14)</f>
        <v>73</v>
      </c>
      <c r="L20" s="39"/>
      <c r="M20" s="39">
        <f>SUBTOTAL(109,M$5:M$15)</f>
        <v>0</v>
      </c>
      <c r="N20" s="39">
        <f>SUBTOTAL(109,N$5:N$14)</f>
        <v>73</v>
      </c>
      <c r="O20" s="39"/>
      <c r="P20" s="39">
        <f>SUBTOTAL(109,P$5:P$15)</f>
        <v>0</v>
      </c>
      <c r="Q20" s="39">
        <f>SUBTOTAL(109,Q$5:Q$14)</f>
        <v>73</v>
      </c>
      <c r="R20" s="39"/>
      <c r="S20" s="39">
        <f>SUBTOTAL(109,S$5:S$15)</f>
        <v>0</v>
      </c>
      <c r="T20" s="39">
        <f>SUBTOTAL(109,T$5:T$14)</f>
        <v>73</v>
      </c>
      <c r="U20" s="39"/>
      <c r="V20" s="39">
        <f>SUBTOTAL(109,V$5:V$15)</f>
        <v>0</v>
      </c>
      <c r="W20" s="39">
        <f>SUBTOTAL(109,W$5:W$14)</f>
        <v>73</v>
      </c>
      <c r="X20" s="39"/>
      <c r="Y20" s="39">
        <f>SUBTOTAL(109,Y$5:Y$15)</f>
        <v>0</v>
      </c>
      <c r="Z20" s="39">
        <f>SUBTOTAL(109,Z$5:Z$14)</f>
        <v>73</v>
      </c>
      <c r="AA20" s="39"/>
      <c r="AB20" s="39">
        <f>SUBTOTAL(109,AB$5:AB$15)</f>
        <v>0</v>
      </c>
      <c r="AC20" s="39">
        <f>SUBTOTAL(109,AC$5:AC$14)</f>
        <v>73</v>
      </c>
      <c r="AD20" s="39"/>
      <c r="AE20" s="39">
        <f>SUBTOTAL(109,AE$5:AE$15)</f>
        <v>0</v>
      </c>
      <c r="AF20" s="39">
        <f>SUBTOTAL(109,AF$5:AF$14)</f>
        <v>73</v>
      </c>
      <c r="AG20" s="39"/>
      <c r="AH20" s="39">
        <f>SUBTOTAL(109,AH$5:AH$15)</f>
        <v>0</v>
      </c>
      <c r="AI20" s="39">
        <f>SUBTOTAL(109,AI$5:AI$14)</f>
        <v>73</v>
      </c>
      <c r="AJ20" s="39"/>
      <c r="AK20" s="39">
        <f>SUBTOTAL(109,AK$5:AK$15)</f>
        <v>0</v>
      </c>
      <c r="AL20" s="39">
        <f>SUBTOTAL(109,AL$5:AL$14)</f>
        <v>73</v>
      </c>
      <c r="AM20" s="39"/>
      <c r="AN20" s="39">
        <f>SUBTOTAL(109,AN$5:AN$15)</f>
        <v>0</v>
      </c>
      <c r="AO20" s="39">
        <f>SUBTOTAL(109,AO$5:AO$14)</f>
        <v>73</v>
      </c>
      <c r="AP20" s="39"/>
      <c r="AQ20" s="39">
        <f>SUBTOTAL(109,AQ$5:AQ$15)</f>
        <v>0</v>
      </c>
      <c r="AR20" s="39">
        <f>SUBTOTAL(109,AR$5:AR$14)</f>
        <v>73</v>
      </c>
      <c r="AS20" s="39"/>
      <c r="AT20" s="39">
        <f>SUBTOTAL(109,AT$5:AT$15)</f>
        <v>1</v>
      </c>
      <c r="AU20" s="39">
        <f>SUBTOTAL(109,AU$5:AU$14)</f>
        <v>72</v>
      </c>
      <c r="AV20" s="39"/>
      <c r="AW20" s="39">
        <f>SUBTOTAL(109,AW$5:AW$15)</f>
        <v>1</v>
      </c>
      <c r="AX20" s="39">
        <f>SUBTOTAL(109,AX$5:AX$14)</f>
        <v>71</v>
      </c>
      <c r="AY20" s="39"/>
      <c r="AZ20" s="39">
        <f>SUBTOTAL(109,AZ$5:AZ$14)</f>
        <v>0</v>
      </c>
      <c r="BA20" s="39" t="e">
        <f>SUBTOTAL(109,BA$5:BA$14)</f>
        <v>#REF!</v>
      </c>
      <c r="BB20" s="39" t="e">
        <f>SUBTOTAL(109,BB$5:BB$14)</f>
        <v>#REF!</v>
      </c>
      <c r="BC20" s="39">
        <f>SUBTOTAL(109,BC$5:BC$14)</f>
        <v>0</v>
      </c>
      <c r="BD20" s="39" t="e">
        <f>SUBTOTAL(109,BD$5:BD$14)</f>
        <v>#REF!</v>
      </c>
      <c r="BE20" s="39" t="e">
        <f>SUBTOTAL(109,BE$5:BE$14)</f>
        <v>#REF!</v>
      </c>
      <c r="BF20" s="39">
        <f>SUBTOTAL(109,BF$5:BF$14)</f>
        <v>0</v>
      </c>
      <c r="BG20" s="39" t="e">
        <f>SUBTOTAL(109,BG$5:BG$14)</f>
        <v>#REF!</v>
      </c>
      <c r="BH20" s="39" t="e">
        <f>SUBTOTAL(109,BH$5:BH$14)</f>
        <v>#REF!</v>
      </c>
      <c r="BI20" s="39">
        <f>SUBTOTAL(109,BI$5:BI$14)</f>
        <v>0</v>
      </c>
      <c r="BJ20" s="39" t="e">
        <f>SUBTOTAL(109,BJ$5:BJ$14)</f>
        <v>#REF!</v>
      </c>
      <c r="BK20" s="39" t="e">
        <f>SUBTOTAL(109,BK$5:BK$14)</f>
        <v>#REF!</v>
      </c>
      <c r="BL20" s="39">
        <f>SUBTOTAL(109,BL$5:BL$14)</f>
        <v>0</v>
      </c>
      <c r="BM20" s="39" t="e">
        <f>SUBTOTAL(109,BM$5:BM$14)</f>
        <v>#REF!</v>
      </c>
      <c r="BN20" s="39" t="e">
        <f>SUBTOTAL(109,BN$5:BN$14)</f>
        <v>#REF!</v>
      </c>
      <c r="BO20" s="39">
        <f>SUBTOTAL(109,BO$5:BO$14)</f>
        <v>0</v>
      </c>
      <c r="BP20" s="39" t="e">
        <f>SUBTOTAL(109,BP$5:BP$14)</f>
        <v>#REF!</v>
      </c>
      <c r="BQ20" s="39" t="e">
        <f>SUBTOTAL(109,BQ$5:BQ$14)</f>
        <v>#REF!</v>
      </c>
      <c r="BR20" s="39">
        <f>SUBTOTAL(109,BR$5:BR$14)</f>
        <v>0</v>
      </c>
      <c r="BS20" s="39" t="e">
        <f>SUBTOTAL(109,BS$5:BS$14)</f>
        <v>#REF!</v>
      </c>
      <c r="BT20" s="39" t="e">
        <f>SUBTOTAL(109,BT$5:BT$14)</f>
        <v>#REF!</v>
      </c>
      <c r="BU20" s="39">
        <f>SUBTOTAL(109,BU$5:BU$14)</f>
        <v>0</v>
      </c>
      <c r="BV20" s="39" t="e">
        <f>SUBTOTAL(109,BV$5:BV$14)</f>
        <v>#REF!</v>
      </c>
      <c r="BW20" s="39" t="e">
        <f>SUBTOTAL(109,BW$5:BW$14)</f>
        <v>#REF!</v>
      </c>
      <c r="BX20" s="39">
        <f>SUBTOTAL(109,BX$5:BX$14)</f>
        <v>0</v>
      </c>
      <c r="BY20" s="39" t="e">
        <f>SUBTOTAL(109,BY$5:BY$14)</f>
        <v>#REF!</v>
      </c>
      <c r="BZ20" s="39" t="e">
        <f>SUBTOTAL(109,BZ$5:BZ$14)</f>
        <v>#REF!</v>
      </c>
      <c r="CA20" s="39">
        <f>SUBTOTAL(109,CA$5:CA$14)</f>
        <v>0</v>
      </c>
      <c r="CB20" s="39" t="e">
        <f>SUBTOTAL(109,CB$5:CB$14)</f>
        <v>#REF!</v>
      </c>
      <c r="CC20" s="39" t="e">
        <f>SUBTOTAL(109,CC$5:CC$14)</f>
        <v>#REF!</v>
      </c>
      <c r="CD20" s="38"/>
      <c r="CE20" s="40"/>
    </row>
    <row r="21" spans="1:83" x14ac:dyDescent="0.2">
      <c r="A21" s="41"/>
      <c r="B21" s="41"/>
      <c r="C21" s="41"/>
      <c r="D21" s="41"/>
      <c r="E21" s="41"/>
      <c r="F21" s="41"/>
      <c r="G21" s="41"/>
      <c r="H21" s="41"/>
      <c r="I21" s="41"/>
      <c r="J21" s="157"/>
      <c r="K21" s="158"/>
      <c r="L21" s="41"/>
      <c r="M21" s="42"/>
      <c r="N21" s="41"/>
      <c r="O21" s="41"/>
      <c r="P21" s="42"/>
      <c r="Q21" s="41"/>
      <c r="R21" s="41"/>
      <c r="S21" s="42"/>
      <c r="T21" s="41"/>
      <c r="U21" s="41"/>
      <c r="V21" s="42"/>
      <c r="W21" s="41"/>
      <c r="X21" s="41"/>
      <c r="Y21" s="42"/>
      <c r="Z21" s="41"/>
      <c r="AA21" s="41"/>
      <c r="AB21" s="42"/>
      <c r="AC21" s="41"/>
      <c r="AD21" s="41"/>
      <c r="AE21" s="42"/>
      <c r="AF21" s="41"/>
      <c r="AG21" s="41"/>
      <c r="AH21" s="42"/>
      <c r="AI21" s="41"/>
      <c r="AJ21" s="41"/>
      <c r="AK21" s="42"/>
      <c r="AL21" s="41"/>
      <c r="AM21" s="41"/>
      <c r="AN21" s="42"/>
      <c r="AO21" s="41"/>
      <c r="AP21" s="41"/>
      <c r="AQ21" s="42"/>
      <c r="AR21" s="41"/>
      <c r="AS21" s="41"/>
      <c r="AT21" s="42"/>
      <c r="AU21" s="41"/>
      <c r="AV21" s="41"/>
      <c r="AW21" s="42"/>
      <c r="AX21" s="41"/>
      <c r="AY21" s="41"/>
      <c r="AZ21" s="42"/>
      <c r="BA21" s="41"/>
      <c r="BB21" s="41"/>
      <c r="BC21" s="42"/>
      <c r="BD21" s="41"/>
      <c r="BE21" s="41"/>
      <c r="BF21" s="42"/>
      <c r="BG21" s="41"/>
      <c r="BH21" s="41"/>
      <c r="BI21" s="42"/>
      <c r="BJ21" s="41"/>
      <c r="BK21" s="41"/>
      <c r="BL21" s="42"/>
      <c r="BM21" s="41"/>
      <c r="BN21" s="41"/>
      <c r="BO21" s="42"/>
      <c r="BP21" s="41"/>
      <c r="BQ21" s="41"/>
      <c r="BR21" s="42"/>
      <c r="BS21" s="41"/>
      <c r="BT21" s="41"/>
      <c r="BU21" s="42"/>
      <c r="BV21" s="41"/>
      <c r="BW21" s="41"/>
      <c r="BX21" s="42"/>
      <c r="BY21" s="41"/>
      <c r="BZ21" s="41"/>
      <c r="CA21" s="42"/>
      <c r="CB21" s="41"/>
      <c r="CC21" s="41"/>
      <c r="CD21" s="41"/>
    </row>
    <row r="22" spans="1:83" x14ac:dyDescent="0.2">
      <c r="A22" s="41"/>
      <c r="B22" s="41"/>
      <c r="C22" s="41"/>
      <c r="D22" s="41"/>
      <c r="E22" s="41"/>
      <c r="F22" s="41"/>
      <c r="G22" s="41"/>
      <c r="H22" s="41"/>
      <c r="I22" s="41"/>
      <c r="J22" s="157"/>
      <c r="K22" s="158"/>
      <c r="L22" s="41"/>
      <c r="M22" s="42"/>
      <c r="N22" s="41"/>
      <c r="O22" s="41"/>
      <c r="P22" s="42"/>
      <c r="Q22" s="41"/>
      <c r="R22" s="41"/>
      <c r="S22" s="42"/>
      <c r="T22" s="41"/>
      <c r="U22" s="41"/>
      <c r="V22" s="42"/>
      <c r="W22" s="41"/>
      <c r="X22" s="41"/>
      <c r="Y22" s="42"/>
      <c r="Z22" s="41"/>
      <c r="AA22" s="41"/>
      <c r="AB22" s="42"/>
      <c r="AC22" s="41"/>
      <c r="AD22" s="41"/>
      <c r="AE22" s="42"/>
      <c r="AF22" s="41"/>
      <c r="AG22" s="41"/>
      <c r="AH22" s="42"/>
      <c r="AI22" s="41"/>
      <c r="AJ22" s="41"/>
      <c r="AK22" s="42"/>
      <c r="AL22" s="41"/>
      <c r="AM22" s="41"/>
      <c r="AN22" s="42"/>
      <c r="AO22" s="41"/>
      <c r="AP22" s="41"/>
      <c r="AQ22" s="42"/>
      <c r="AR22" s="41"/>
      <c r="AS22" s="41"/>
      <c r="AT22" s="42"/>
      <c r="AU22" s="41"/>
      <c r="AV22" s="41"/>
      <c r="AW22" s="42"/>
      <c r="AX22" s="41"/>
      <c r="AY22" s="41"/>
      <c r="AZ22" s="42"/>
      <c r="BA22" s="41"/>
      <c r="BB22" s="41"/>
      <c r="BC22" s="42"/>
      <c r="BD22" s="41"/>
      <c r="BE22" s="41"/>
      <c r="BF22" s="42"/>
      <c r="BG22" s="41"/>
      <c r="BH22" s="41"/>
      <c r="BI22" s="42"/>
      <c r="BJ22" s="41"/>
      <c r="BK22" s="41"/>
      <c r="BL22" s="42"/>
      <c r="BM22" s="41"/>
      <c r="BN22" s="41"/>
      <c r="BO22" s="42"/>
      <c r="BP22" s="41"/>
      <c r="BQ22" s="41"/>
      <c r="BR22" s="42"/>
      <c r="BS22" s="41"/>
      <c r="BT22" s="41"/>
      <c r="BU22" s="42"/>
      <c r="BV22" s="41"/>
      <c r="BW22" s="41"/>
      <c r="BX22" s="42"/>
      <c r="BY22" s="41"/>
      <c r="BZ22" s="41"/>
      <c r="CA22" s="42"/>
      <c r="CB22" s="41"/>
      <c r="CC22" s="41"/>
      <c r="CD22" s="41"/>
    </row>
    <row r="23" spans="1:83" x14ac:dyDescent="0.2">
      <c r="A23" s="41"/>
      <c r="B23" s="41"/>
      <c r="C23" s="41"/>
      <c r="D23" s="41"/>
      <c r="E23" s="41"/>
      <c r="F23" s="41"/>
      <c r="G23" s="41"/>
    </row>
    <row r="24" spans="1:83" x14ac:dyDescent="0.2">
      <c r="A24" s="41"/>
      <c r="B24" s="41"/>
      <c r="C24" s="41"/>
      <c r="D24" s="41"/>
      <c r="E24" s="41"/>
      <c r="F24" s="41"/>
      <c r="G24" s="41"/>
    </row>
  </sheetData>
  <autoFilter ref="C3:CE14"/>
  <mergeCells count="48">
    <mergeCell ref="AE16:AF16"/>
    <mergeCell ref="AB16:AC16"/>
    <mergeCell ref="Y16:Z16"/>
    <mergeCell ref="AE1:AG1"/>
    <mergeCell ref="AB1:AD1"/>
    <mergeCell ref="Y1:AA1"/>
    <mergeCell ref="BX1:BZ1"/>
    <mergeCell ref="BX16:BY16"/>
    <mergeCell ref="CA1:CC1"/>
    <mergeCell ref="CA16:CB16"/>
    <mergeCell ref="BR1:BT1"/>
    <mergeCell ref="BR16:BS16"/>
    <mergeCell ref="BU1:BW1"/>
    <mergeCell ref="BU16:BV16"/>
    <mergeCell ref="BL1:BN1"/>
    <mergeCell ref="BL16:BM16"/>
    <mergeCell ref="BO1:BQ1"/>
    <mergeCell ref="BO16:BP16"/>
    <mergeCell ref="AZ1:BB1"/>
    <mergeCell ref="AZ16:BA16"/>
    <mergeCell ref="BC1:BE1"/>
    <mergeCell ref="BC16:BD16"/>
    <mergeCell ref="BF1:BH1"/>
    <mergeCell ref="BF16:BG16"/>
    <mergeCell ref="BI1:BK1"/>
    <mergeCell ref="BI16:BJ16"/>
    <mergeCell ref="V1:X1"/>
    <mergeCell ref="J16:K16"/>
    <mergeCell ref="M16:N16"/>
    <mergeCell ref="P16:Q16"/>
    <mergeCell ref="S16:T16"/>
    <mergeCell ref="V16:W16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16:AU16"/>
    <mergeCell ref="AW16:AX16"/>
    <mergeCell ref="AH16:AI16"/>
    <mergeCell ref="AK16:AL16"/>
    <mergeCell ref="AN16:AO16"/>
    <mergeCell ref="AQ16:AR16"/>
  </mergeCells>
  <phoneticPr fontId="2" type="noConversion"/>
  <conditionalFormatting sqref="I20">
    <cfRule type="cellIs" dxfId="60" priority="22" stopIfTrue="1" operator="lessThan">
      <formula>C20*0.75</formula>
    </cfRule>
    <cfRule type="cellIs" dxfId="59" priority="22" stopIfTrue="1" operator="between">
      <formula>C20*0.75</formula>
      <formula>#REF!</formula>
    </cfRule>
    <cfRule type="cellIs" dxfId="58" priority="22" stopIfTrue="1" operator="greaterThan">
      <formula>C20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57" priority="14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56" priority="15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55" priority="16" stopIfTrue="1">
      <formula>J$1=TODAY()+DailyScrumDateModifier</formula>
    </cfRule>
  </conditionalFormatting>
  <conditionalFormatting sqref="S5:S14 AW5:AW14 AT5:AT14 AQ5:AQ14 AN5:AN14 AK5:AK14 AH5:AH14 AE5:AE14 AB5:AB14 Y5:Y14 V5:V14 CA5:CA14 BX5:BX14 BU5:BU14 BR5:BR14 BO5:BO14 BL5:BL14 BI5:BI14 BF5:BF14 BC5:BC14 AZ5:AZ14 M5:M14 J5:J14 P5:P14">
    <cfRule type="expression" dxfId="54" priority="25" stopIfTrue="1">
      <formula>J$1=TODAY()+DailyScrumDateModifier</formula>
    </cfRule>
    <cfRule type="expression" dxfId="53" priority="25" stopIfTrue="1">
      <formula>MOD(ROW(),2)</formula>
    </cfRule>
  </conditionalFormatting>
  <conditionalFormatting sqref="N5:N14 AX5:AX14 AU5:AU14 AR5:AR14 AL5:AL14 AF5:AF14 AC5:AC14 Z5:Z14 W5:W14 Q5:Q14 CB5:CB14 BY5:BY14 BV5:BV14 BS5:BS14 BP5:BP14 BM5:BM14 BJ5:BJ14 BG5:BG14 BD5:BD14 BA5:BA14 T5:T14 AI5:AI14 AO5:AO14 K5:K14">
    <cfRule type="expression" dxfId="52" priority="27" stopIfTrue="1">
      <formula>J$1=TODAY()+DailyScrumDateModifier</formula>
    </cfRule>
    <cfRule type="expression" dxfId="51" priority="27" stopIfTrue="1">
      <formula>MOD(ROW(),2)</formula>
    </cfRule>
  </conditionalFormatting>
  <conditionalFormatting sqref="H5:I14 A12:E14 CE5:CE15 A5:B11 D5:E11">
    <cfRule type="expression" dxfId="50" priority="29" stopIfTrue="1">
      <formula>MOD(ROW(),2)</formula>
    </cfRule>
  </conditionalFormatting>
  <conditionalFormatting sqref="CC5:CC14 BZ5:BZ14 BW5:BW14 BT5:BT14 BQ5:BQ14 BN5:BN14 BK5:BK14 BH5:BH14 BE5:BE14 BB5:BB14 X5:X14 U5:U14 R5:R14 O5:O14 AY5:AY14 AV5:AV14 AS5:AS14 AP5:AP14 AM5:AM14 AJ5:AJ14 AG5:AG14 AD5:AD14 AA5:AA14 L5:L14">
    <cfRule type="cellIs" dxfId="49" priority="30" stopIfTrue="1" operator="equal">
      <formula>"Pending"</formula>
    </cfRule>
    <cfRule type="cellIs" dxfId="48" priority="30" stopIfTrue="1" operator="equal">
      <formula>"In Progress"</formula>
    </cfRule>
    <cfRule type="cellIs" dxfId="47" priority="30" stopIfTrue="1" operator="equal">
      <formula>"Complete"</formula>
    </cfRule>
  </conditionalFormatting>
  <conditionalFormatting sqref="J1:CC1">
    <cfRule type="expression" dxfId="46" priority="17" stopIfTrue="1">
      <formula>J$1=TODAY()+DailyScrumDateModifier</formula>
    </cfRule>
    <cfRule type="expression" dxfId="45" priority="17" stopIfTrue="1">
      <formula>J$1=TODAY()</formula>
    </cfRule>
  </conditionalFormatting>
  <conditionalFormatting sqref="J21:K22 M21:N22">
    <cfRule type="expression" dxfId="44" priority="19" stopIfTrue="1">
      <formula>"I1=TODAY()"</formula>
    </cfRule>
  </conditionalFormatting>
  <conditionalFormatting sqref="G16">
    <cfRule type="cellIs" dxfId="43" priority="20" stopIfTrue="1" operator="equal">
      <formula>"Complete"</formula>
    </cfRule>
    <cfRule type="cellIs" dxfId="42" priority="20" stopIfTrue="1" operator="equal">
      <formula>"In Progress"</formula>
    </cfRule>
  </conditionalFormatting>
  <conditionalFormatting sqref="G5:G14">
    <cfRule type="cellIs" dxfId="41" priority="33" stopIfTrue="1" operator="equal">
      <formula>"Complete"</formula>
    </cfRule>
    <cfRule type="cellIs" dxfId="40" priority="33" stopIfTrue="1" operator="equal">
      <formula>"In Progress"</formula>
    </cfRule>
    <cfRule type="cellIs" dxfId="39" priority="33" stopIfTrue="1" operator="equal">
      <formula>"Pending"</formula>
    </cfRule>
  </conditionalFormatting>
  <conditionalFormatting sqref="S4 AW4 AT4 AQ4 AN4 AK4 AH4 AE4 AB4 Y4 V4 CA4 BX4 BU4 BR4 BO4 BL4 BI4 BF4 BC4 AZ4 M4 J4 P4">
    <cfRule type="expression" dxfId="38" priority="-1" stopIfTrue="1">
      <formula>MOD(ROW(),2)</formula>
    </cfRule>
    <cfRule type="expression" dxfId="37" priority="1" stopIfTrue="1">
      <formula>J$1=TODAY()+DailyScrumDateModifier</formula>
    </cfRule>
  </conditionalFormatting>
  <conditionalFormatting sqref="N4 AX4 AU4 AR4 AL4 AF4 AC4 Z4 W4 Q4 CB4 BY4 BV4 BS4 BP4 BM4 BJ4 BG4 BD4 BA4 K4 T4 AI4 AO4">
    <cfRule type="expression" dxfId="36" priority="-1" stopIfTrue="1">
      <formula>MOD(ROW(),2)</formula>
    </cfRule>
    <cfRule type="expression" dxfId="35" priority="2" stopIfTrue="1">
      <formula>J$1=TODAY()+DailyScrumDateModifier</formula>
    </cfRule>
  </conditionalFormatting>
  <conditionalFormatting sqref="CE4 H4:I4 A4:E4 C5:C11">
    <cfRule type="expression" dxfId="34" priority="3" stopIfTrue="1">
      <formula>MOD(ROW(),2)</formula>
    </cfRule>
  </conditionalFormatting>
  <conditionalFormatting sqref="CC4 BZ4 BW4 BT4 BQ4 BN4 BK4 BH4 BE4 BB4 X4 U4 R4 O4 AY4 AV4 AS4 AP4 AM4 AJ4 AG4 AD4 AA4 L4">
    <cfRule type="cellIs" dxfId="33" priority="-1" stopIfTrue="1" operator="equal">
      <formula>"In Progress"</formula>
    </cfRule>
    <cfRule type="cellIs" dxfId="32" priority="-1" stopIfTrue="1" operator="equal">
      <formula>"Complete"</formula>
    </cfRule>
    <cfRule type="cellIs" dxfId="31" priority="4" stopIfTrue="1" operator="equal">
      <formula>"Pending"</formula>
    </cfRule>
  </conditionalFormatting>
  <conditionalFormatting sqref="G4">
    <cfRule type="cellIs" dxfId="30" priority="-1" stopIfTrue="1" operator="equal">
      <formula>"In Progress"</formula>
    </cfRule>
    <cfRule type="cellIs" dxfId="29" priority="-1" stopIfTrue="1" operator="equal">
      <formula>"Pending"</formula>
    </cfRule>
    <cfRule type="cellIs" dxfId="28" priority="5" stopIfTrue="1" operator="equal">
      <formula>"Complete"</formula>
    </cfRule>
  </conditionalFormatting>
  <dataValidations count="3">
    <dataValidation type="list" allowBlank="1" showInputMessage="1" showErrorMessage="1" sqref="F4:F14">
      <formula1>Members</formula1>
    </dataValidation>
    <dataValidation type="list" allowBlank="1" showInputMessage="1" showErrorMessage="1" sqref="A4:A14">
      <formula1>Worktype</formula1>
    </dataValidation>
    <dataValidation type="list" allowBlank="1" showInputMessage="1" showErrorMessage="1" sqref="B4:B14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3" workbookViewId="0">
      <selection activeCell="F22" sqref="F22"/>
    </sheetView>
  </sheetViews>
  <sheetFormatPr baseColWidth="10" defaultColWidth="9.140625"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41795</v>
      </c>
      <c r="F20" s="164">
        <f t="shared" si="0"/>
        <v>41796</v>
      </c>
      <c r="G20" s="164">
        <f t="shared" si="0"/>
        <v>41797</v>
      </c>
      <c r="H20" s="164">
        <f t="shared" si="0"/>
        <v>41798</v>
      </c>
      <c r="I20" s="164">
        <f t="shared" si="0"/>
        <v>41799</v>
      </c>
      <c r="J20" s="164">
        <f t="shared" si="0"/>
        <v>41800</v>
      </c>
      <c r="K20" s="164">
        <f t="shared" si="0"/>
        <v>41801</v>
      </c>
      <c r="L20" s="164">
        <f t="shared" si="0"/>
        <v>41802</v>
      </c>
      <c r="M20" s="164">
        <f t="shared" si="0"/>
        <v>41803</v>
      </c>
      <c r="N20" s="164">
        <f t="shared" si="0"/>
        <v>41804</v>
      </c>
      <c r="O20" s="164">
        <f t="shared" si="0"/>
        <v>41805</v>
      </c>
      <c r="P20" s="164">
        <f t="shared" si="0"/>
        <v>41806</v>
      </c>
      <c r="Q20" s="164">
        <f t="shared" si="0"/>
        <v>41807</v>
      </c>
      <c r="R20" s="164">
        <f t="shared" si="0"/>
        <v>41808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73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73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41795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205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41795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73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10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86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87</v>
      </c>
      <c r="C41" s="165"/>
      <c r="D41" s="165"/>
      <c r="E41" s="165">
        <v>0</v>
      </c>
      <c r="F41" s="165"/>
      <c r="G41" s="165" t="s">
        <v>88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7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baseColWidth="10" defaultColWidth="9.140625"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7.14062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>TEXT(E2,"ddd")</f>
        <v>lun</v>
      </c>
      <c r="E2" s="48">
        <v>41792</v>
      </c>
    </row>
    <row r="3" spans="2:28" ht="13.5" thickBot="1" x14ac:dyDescent="0.25">
      <c r="B3" s="49" t="s">
        <v>43</v>
      </c>
      <c r="C3" s="50"/>
      <c r="D3" s="51" t="str">
        <f>TEXT(E3,"ddd")</f>
        <v>jue</v>
      </c>
      <c r="E3" s="52">
        <v>41795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4" t="s">
        <v>47</v>
      </c>
      <c r="C5" s="195"/>
      <c r="D5" s="195"/>
      <c r="E5" s="195"/>
      <c r="F5" s="195"/>
      <c r="G5" s="196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54</v>
      </c>
      <c r="C6" s="61">
        <v>8</v>
      </c>
      <c r="D6" s="62"/>
      <c r="E6" s="63" t="s">
        <v>55</v>
      </c>
      <c r="F6" s="64">
        <v>14</v>
      </c>
      <c r="G6" s="65"/>
      <c r="I6" s="66">
        <f>IF(D3="lun",E3-0,IF(D3="mar",E3-1,IF(D3="mie",E3-2,IF(D3="jue",E3-3,IF(D3="vie",E3-4,IF(D3="sab",E3-5,IF(D3="dom",E3-6,"False")))))))</f>
        <v>41792</v>
      </c>
      <c r="J6" s="67">
        <f t="shared" ref="J6:O6" si="0">I6+1</f>
        <v>41793</v>
      </c>
      <c r="K6" s="67">
        <f t="shared" si="0"/>
        <v>41794</v>
      </c>
      <c r="L6" s="67">
        <f t="shared" si="0"/>
        <v>41795</v>
      </c>
      <c r="M6" s="67">
        <f t="shared" si="0"/>
        <v>41796</v>
      </c>
      <c r="N6" s="68">
        <f t="shared" si="0"/>
        <v>41797</v>
      </c>
      <c r="O6" s="68">
        <f t="shared" si="0"/>
        <v>41798</v>
      </c>
      <c r="P6" s="69">
        <f>I6+7</f>
        <v>41799</v>
      </c>
      <c r="Q6" s="67">
        <f t="shared" ref="Q6:V6" si="1">P6+1</f>
        <v>41800</v>
      </c>
      <c r="R6" s="67">
        <f t="shared" si="1"/>
        <v>41801</v>
      </c>
      <c r="S6" s="67">
        <f t="shared" si="1"/>
        <v>41802</v>
      </c>
      <c r="T6" s="67">
        <f t="shared" si="1"/>
        <v>41803</v>
      </c>
      <c r="U6" s="68">
        <f t="shared" si="1"/>
        <v>41804</v>
      </c>
      <c r="V6" s="68">
        <f t="shared" si="1"/>
        <v>41805</v>
      </c>
      <c r="W6" s="197"/>
      <c r="X6" s="198"/>
      <c r="Y6" s="198"/>
      <c r="Z6" s="198"/>
      <c r="AA6" s="198"/>
      <c r="AB6" s="199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52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0" t="s">
        <v>42</v>
      </c>
      <c r="X7" s="201"/>
      <c r="Y7" s="201"/>
      <c r="Z7" s="201"/>
      <c r="AA7" s="201"/>
      <c r="AB7" s="202"/>
    </row>
    <row r="8" spans="2:28" ht="13.5" thickBot="1" x14ac:dyDescent="0.25">
      <c r="B8" s="78" t="s">
        <v>37</v>
      </c>
      <c r="C8" s="79">
        <f>SUM(G8:G25)</f>
        <v>56</v>
      </c>
      <c r="D8" s="80"/>
      <c r="E8" s="81" t="s">
        <v>141</v>
      </c>
      <c r="F8" s="82">
        <v>1</v>
      </c>
      <c r="G8" s="83">
        <v>56</v>
      </c>
      <c r="H8" s="84"/>
      <c r="I8" s="90">
        <f t="shared" ref="I8:J18" si="2">IF(I$6&lt;$E$3,0,IF(ISBLANK($E8),0,IF(I$6&lt;$E$2,0,1)))</f>
        <v>0</v>
      </c>
      <c r="J8" s="91">
        <f t="shared" si="2"/>
        <v>0</v>
      </c>
      <c r="K8" s="91">
        <f t="shared" ref="K8:M23" si="3">IF(K$6&lt;$E$3,0,IF(ISBLANK($E8),0,IF(K$6&lt;$E$2,0,1)))</f>
        <v>0</v>
      </c>
      <c r="L8" s="91">
        <f t="shared" si="3"/>
        <v>1</v>
      </c>
      <c r="M8" s="91">
        <f t="shared" si="3"/>
        <v>1</v>
      </c>
      <c r="N8" s="85"/>
      <c r="O8" s="86"/>
      <c r="P8" s="90">
        <f t="shared" ref="P8:T18" si="4">IF(P$6&lt;$E$3,0,IF(ISBLANK($E8),0,IF(P$6&lt;$E$2,0,1)))</f>
        <v>1</v>
      </c>
      <c r="Q8" s="91">
        <f t="shared" si="4"/>
        <v>1</v>
      </c>
      <c r="R8" s="91">
        <f t="shared" si="4"/>
        <v>1</v>
      </c>
      <c r="S8" s="91">
        <f t="shared" si="4"/>
        <v>1</v>
      </c>
      <c r="T8" s="91">
        <f t="shared" si="4"/>
        <v>1</v>
      </c>
      <c r="U8" s="85"/>
      <c r="V8" s="86"/>
      <c r="W8" s="191">
        <f t="shared" ref="W8:W25" si="5">IF(E8="unassigned",0,(COUNTIF(I8:V8,1)*$C$6)*F8)</f>
        <v>56</v>
      </c>
      <c r="X8" s="192"/>
      <c r="Y8" s="192"/>
      <c r="Z8" s="192"/>
      <c r="AA8" s="192"/>
      <c r="AB8" s="193"/>
    </row>
    <row r="9" spans="2:28" ht="13.5" thickBot="1" x14ac:dyDescent="0.25">
      <c r="B9" s="87" t="s">
        <v>38</v>
      </c>
      <c r="C9" s="79">
        <f>SUM(W8:AB25)</f>
        <v>56</v>
      </c>
      <c r="D9" s="88"/>
      <c r="E9" s="18"/>
      <c r="F9" s="89">
        <v>1</v>
      </c>
      <c r="G9" s="83">
        <f>SUMIF(Sprint!$F$5:$F$1807,E9,Sprint!$AX$5:$AX$1807)</f>
        <v>0</v>
      </c>
      <c r="H9" s="84"/>
      <c r="I9" s="90">
        <f t="shared" si="2"/>
        <v>0</v>
      </c>
      <c r="J9" s="91">
        <f t="shared" si="2"/>
        <v>0</v>
      </c>
      <c r="K9" s="91">
        <f t="shared" si="3"/>
        <v>0</v>
      </c>
      <c r="L9" s="91">
        <f t="shared" si="3"/>
        <v>0</v>
      </c>
      <c r="M9" s="91">
        <f t="shared" si="3"/>
        <v>0</v>
      </c>
      <c r="N9" s="92"/>
      <c r="O9" s="93"/>
      <c r="P9" s="90">
        <f t="shared" si="4"/>
        <v>0</v>
      </c>
      <c r="Q9" s="91">
        <f t="shared" si="4"/>
        <v>0</v>
      </c>
      <c r="R9" s="91">
        <f t="shared" si="4"/>
        <v>0</v>
      </c>
      <c r="S9" s="91">
        <f t="shared" si="4"/>
        <v>0</v>
      </c>
      <c r="T9" s="91">
        <f t="shared" si="4"/>
        <v>0</v>
      </c>
      <c r="U9" s="92"/>
      <c r="V9" s="93"/>
      <c r="W9" s="191">
        <f t="shared" si="5"/>
        <v>0</v>
      </c>
      <c r="X9" s="192"/>
      <c r="Y9" s="192"/>
      <c r="Z9" s="192"/>
      <c r="AA9" s="192"/>
      <c r="AB9" s="193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SUMIF(Sprint!$F$5:$F$1807,E10,Sprint!$AX$5:$AX$1807)</f>
        <v>0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f t="shared" si="3"/>
        <v>0</v>
      </c>
      <c r="N10" s="92"/>
      <c r="O10" s="93"/>
      <c r="P10" s="90">
        <f t="shared" si="4"/>
        <v>0</v>
      </c>
      <c r="Q10" s="91">
        <f t="shared" si="4"/>
        <v>0</v>
      </c>
      <c r="R10" s="91">
        <f t="shared" si="4"/>
        <v>0</v>
      </c>
      <c r="S10" s="91">
        <f t="shared" si="4"/>
        <v>0</v>
      </c>
      <c r="T10" s="91">
        <f t="shared" si="4"/>
        <v>0</v>
      </c>
      <c r="U10" s="92"/>
      <c r="V10" s="93"/>
      <c r="W10" s="191">
        <f t="shared" si="5"/>
        <v>0</v>
      </c>
      <c r="X10" s="192"/>
      <c r="Y10" s="192"/>
      <c r="Z10" s="192"/>
      <c r="AA10" s="192"/>
      <c r="AB10" s="193"/>
    </row>
    <row r="11" spans="2:28" ht="13.5" thickBot="1" x14ac:dyDescent="0.25">
      <c r="B11" s="96"/>
      <c r="D11" s="97"/>
      <c r="E11" s="18"/>
      <c r="F11" s="89">
        <v>1</v>
      </c>
      <c r="G11" s="83">
        <f>SUMIF(Sprint!$F$5:$F$1807,E11,Sprint!$AX$5:$AX$1807)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191">
        <f t="shared" si="5"/>
        <v>0</v>
      </c>
      <c r="X11" s="192"/>
      <c r="Y11" s="192"/>
      <c r="Z11" s="192"/>
      <c r="AA11" s="192"/>
      <c r="AB11" s="193"/>
    </row>
    <row r="12" spans="2:28" ht="13.5" thickBot="1" x14ac:dyDescent="0.25">
      <c r="B12" s="96"/>
      <c r="D12" s="97"/>
      <c r="E12" s="18"/>
      <c r="F12" s="89"/>
      <c r="G12" s="83">
        <f>SUMIF(Sprint!$F$5:$F$1807,E12,Sprint!$AX$5:$AX$1807)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1">
        <f t="shared" si="5"/>
        <v>0</v>
      </c>
      <c r="X12" s="192"/>
      <c r="Y12" s="192"/>
      <c r="Z12" s="192"/>
      <c r="AA12" s="192"/>
      <c r="AB12" s="193"/>
    </row>
    <row r="13" spans="2:28" ht="13.5" thickBot="1" x14ac:dyDescent="0.25">
      <c r="B13" s="96"/>
      <c r="D13" s="98"/>
      <c r="E13" s="18"/>
      <c r="F13" s="89"/>
      <c r="G13" s="83">
        <f>SUMIF(Sprint!$F$5:$F$1807,E13,Sprint!$AX$5:$AX$1807)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1">
        <f t="shared" si="5"/>
        <v>0</v>
      </c>
      <c r="X13" s="192"/>
      <c r="Y13" s="192"/>
      <c r="Z13" s="192"/>
      <c r="AA13" s="192"/>
      <c r="AB13" s="193"/>
    </row>
    <row r="14" spans="2:28" ht="13.5" thickBot="1" x14ac:dyDescent="0.25">
      <c r="B14" s="96"/>
      <c r="D14" s="62"/>
      <c r="E14" s="18"/>
      <c r="F14" s="89"/>
      <c r="G14" s="83">
        <f>SUMIF(Sprint!$F$5:$F$1807,E14,Sprint!$AX$5:$AX$1807)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1">
        <f t="shared" si="5"/>
        <v>0</v>
      </c>
      <c r="X14" s="192"/>
      <c r="Y14" s="192"/>
      <c r="Z14" s="192"/>
      <c r="AA14" s="192"/>
      <c r="AB14" s="193"/>
    </row>
    <row r="15" spans="2:28" ht="13.5" thickBot="1" x14ac:dyDescent="0.25">
      <c r="B15" s="96"/>
      <c r="D15" s="62"/>
      <c r="E15" s="18"/>
      <c r="F15" s="89"/>
      <c r="G15" s="83">
        <f>SUMIF(Sprint!$F$5:$F$1807,E15,Sprint!$AX$5:$AX$1807)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1">
        <f t="shared" si="5"/>
        <v>0</v>
      </c>
      <c r="X15" s="192"/>
      <c r="Y15" s="192"/>
      <c r="Z15" s="192"/>
      <c r="AA15" s="192"/>
      <c r="AB15" s="193"/>
    </row>
    <row r="16" spans="2:28" ht="13.5" thickBot="1" x14ac:dyDescent="0.25">
      <c r="B16" s="96"/>
      <c r="D16" s="98"/>
      <c r="E16" s="18"/>
      <c r="F16" s="89"/>
      <c r="G16" s="83">
        <f>SUMIF(Sprint!$F$5:$F$1807,E16,Sprint!$AX$5:$AX$1807)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1">
        <f t="shared" si="5"/>
        <v>0</v>
      </c>
      <c r="X16" s="192"/>
      <c r="Y16" s="192"/>
      <c r="Z16" s="192"/>
      <c r="AA16" s="192"/>
      <c r="AB16" s="193"/>
    </row>
    <row r="17" spans="2:28" ht="13.5" thickBot="1" x14ac:dyDescent="0.25">
      <c r="B17" s="96"/>
      <c r="D17" s="98"/>
      <c r="E17" s="18"/>
      <c r="F17" s="89"/>
      <c r="G17" s="83">
        <f>SUMIF(Sprint!$F$5:$F$1807,E17,Sprint!$AX$5:$AX$1807)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1">
        <f t="shared" si="5"/>
        <v>0</v>
      </c>
      <c r="X17" s="192"/>
      <c r="Y17" s="192"/>
      <c r="Z17" s="192"/>
      <c r="AA17" s="192"/>
      <c r="AB17" s="193"/>
    </row>
    <row r="18" spans="2:28" ht="13.5" thickBot="1" x14ac:dyDescent="0.25">
      <c r="B18" s="96"/>
      <c r="D18" s="98"/>
      <c r="E18" s="18"/>
      <c r="F18" s="89"/>
      <c r="G18" s="83">
        <f>SUMIF(Sprint!$F$5:$F$1807,E18,Sprint!$AX$5:$AX$1807)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1">
        <f t="shared" si="5"/>
        <v>0</v>
      </c>
      <c r="X18" s="192"/>
      <c r="Y18" s="192"/>
      <c r="Z18" s="192"/>
      <c r="AA18" s="192"/>
      <c r="AB18" s="193"/>
    </row>
    <row r="19" spans="2:28" ht="13.5" thickBot="1" x14ac:dyDescent="0.25">
      <c r="B19" s="96"/>
      <c r="D19" s="98"/>
      <c r="E19" s="18"/>
      <c r="F19" s="89"/>
      <c r="G19" s="83">
        <f>SUMIF(Sprint!$F$5:$F$1807,E19,Sprint!$AX$5:$AX$1807)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1">
        <f t="shared" si="5"/>
        <v>0</v>
      </c>
      <c r="X19" s="192"/>
      <c r="Y19" s="192"/>
      <c r="Z19" s="192"/>
      <c r="AA19" s="192"/>
      <c r="AB19" s="193"/>
    </row>
    <row r="20" spans="2:28" ht="13.5" thickBot="1" x14ac:dyDescent="0.25">
      <c r="B20" s="96"/>
      <c r="D20" s="98"/>
      <c r="E20" s="18"/>
      <c r="F20" s="89"/>
      <c r="G20" s="83">
        <f>SUMIF(Sprint!$F$5:$F$1807,E20,Sprint!$AX$5:$AX$1807)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1">
        <f t="shared" si="5"/>
        <v>0</v>
      </c>
      <c r="X20" s="192"/>
      <c r="Y20" s="192"/>
      <c r="Z20" s="192"/>
      <c r="AA20" s="192"/>
      <c r="AB20" s="193"/>
    </row>
    <row r="21" spans="2:28" ht="13.5" thickBot="1" x14ac:dyDescent="0.25">
      <c r="B21" s="96"/>
      <c r="C21" s="100"/>
      <c r="D21" s="98"/>
      <c r="E21" s="18"/>
      <c r="F21" s="89"/>
      <c r="G21" s="83">
        <f>SUMIF(Sprint!$F$5:$F$1807,E21,Sprint!$AX$5:$AX$1807)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1">
        <f t="shared" si="5"/>
        <v>0</v>
      </c>
      <c r="X21" s="192"/>
      <c r="Y21" s="192"/>
      <c r="Z21" s="192"/>
      <c r="AA21" s="192"/>
      <c r="AB21" s="193"/>
    </row>
    <row r="22" spans="2:28" ht="13.5" thickBot="1" x14ac:dyDescent="0.25">
      <c r="B22" s="70"/>
      <c r="C22" s="101"/>
      <c r="D22" s="98"/>
      <c r="E22" s="18"/>
      <c r="F22" s="102"/>
      <c r="G22" s="83">
        <f>SUMIF(Sprint!$F$5:$F$1807,E22,Sprint!$AX$5:$AX$1807)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1">
        <f t="shared" si="5"/>
        <v>0</v>
      </c>
      <c r="X22" s="192"/>
      <c r="Y22" s="192"/>
      <c r="Z22" s="192"/>
      <c r="AA22" s="192"/>
      <c r="AB22" s="193"/>
    </row>
    <row r="23" spans="2:28" ht="13.5" thickBot="1" x14ac:dyDescent="0.25">
      <c r="B23" s="70"/>
      <c r="D23" s="98"/>
      <c r="E23" s="18"/>
      <c r="F23" s="102"/>
      <c r="G23" s="83">
        <f>SUMIF(Sprint!$F$5:$F$1807,E23,Sprint!$AX$5:$AX$1807)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1">
        <f t="shared" si="5"/>
        <v>0</v>
      </c>
      <c r="X23" s="192"/>
      <c r="Y23" s="192"/>
      <c r="Z23" s="192"/>
      <c r="AA23" s="192"/>
      <c r="AB23" s="193"/>
    </row>
    <row r="24" spans="2:28" ht="13.5" thickBot="1" x14ac:dyDescent="0.25">
      <c r="B24" s="96"/>
      <c r="D24" s="98"/>
      <c r="E24" s="18"/>
      <c r="F24" s="102"/>
      <c r="G24" s="83">
        <f>SUMIF(Sprint!$F$5:$F$1807,E24,Sprint!$AX$5:$AX$1807)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1">
        <f t="shared" si="5"/>
        <v>0</v>
      </c>
      <c r="X24" s="192"/>
      <c r="Y24" s="192"/>
      <c r="Z24" s="192"/>
      <c r="AA24" s="192"/>
      <c r="AB24" s="193"/>
    </row>
    <row r="25" spans="2:28" ht="13.5" thickBot="1" x14ac:dyDescent="0.25">
      <c r="B25" s="96"/>
      <c r="D25" s="98"/>
      <c r="E25" s="103"/>
      <c r="F25" s="104"/>
      <c r="G25" s="83">
        <f>SUMIF(Sprint!$F$5:$F$1807,E25,Sprint!$AX$5:$AX$1807)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1">
        <f t="shared" si="5"/>
        <v>0</v>
      </c>
      <c r="X25" s="192"/>
      <c r="Y25" s="192"/>
      <c r="Z25" s="192"/>
      <c r="AA25" s="192"/>
      <c r="AB25" s="193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50</v>
      </c>
      <c r="J29" s="43" t="s">
        <v>40</v>
      </c>
      <c r="K29" s="43" t="s">
        <v>51</v>
      </c>
      <c r="Q29" s="122" t="s">
        <v>49</v>
      </c>
      <c r="R29" s="43" t="s">
        <v>40</v>
      </c>
      <c r="S29" s="43" t="s">
        <v>53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6" priority="2" stopIfTrue="1">
      <formula>G8&gt;W8</formula>
    </cfRule>
  </conditionalFormatting>
  <conditionalFormatting sqref="I8:M25 P8:T25">
    <cfRule type="cellIs" dxfId="25" priority="5" stopIfTrue="1" operator="equal">
      <formula>"H"</formula>
    </cfRule>
    <cfRule type="cellIs" dxfId="24" priority="6" stopIfTrue="1" operator="equal">
      <formula>"V"</formula>
    </cfRule>
    <cfRule type="expression" dxfId="23" priority="7" stopIfTrue="1">
      <formula>IF(I$6&lt;$E$2,1,0)</formula>
    </cfRule>
  </conditionalFormatting>
  <conditionalFormatting sqref="X30:X34 X26:X28 J32:J34 J26:J30 I26:I34 Q29 T26:W34 N8:O25 K26:O34 U8:V25 P30:S34 P26:S28">
    <cfRule type="cellIs" dxfId="22" priority="13" stopIfTrue="1" operator="equal">
      <formula>"DIO"</formula>
    </cfRule>
    <cfRule type="cellIs" dxfId="21" priority="14" stopIfTrue="1" operator="equal">
      <formula>"H"</formula>
    </cfRule>
    <cfRule type="cellIs" dxfId="20" priority="15" stopIfTrue="1" operator="equal">
      <formula>"V"</formula>
    </cfRule>
  </conditionalFormatting>
  <conditionalFormatting sqref="P6">
    <cfRule type="expression" dxfId="19" priority="21" stopIfTrue="1">
      <formula>P$6=TODAY()</formula>
    </cfRule>
    <cfRule type="expression" dxfId="18" priority="22" stopIfTrue="1">
      <formula>IF((P$6+1-$E$3)=$F$6,1,0)</formula>
    </cfRule>
  </conditionalFormatting>
  <conditionalFormatting sqref="Q6:V6 J6:O6">
    <cfRule type="expression" dxfId="17" priority="23" stopIfTrue="1">
      <formula>J$6=TODAY()</formula>
    </cfRule>
    <cfRule type="expression" dxfId="16" priority="24" stopIfTrue="1">
      <formula>IF((J$6+1-$E$3)=$F$6,1,0)</formula>
    </cfRule>
  </conditionalFormatting>
  <conditionalFormatting sqref="I6">
    <cfRule type="expression" dxfId="15" priority="25" stopIfTrue="1">
      <formula>I$6=TODAY()</formula>
    </cfRule>
    <cfRule type="expression" dxfId="14" priority="26" stopIfTrue="1">
      <formula>IF((J$6+1-$E$3)=$F$6,1,0)</formula>
    </cfRule>
  </conditionalFormatting>
  <conditionalFormatting sqref="F26:F27 F8:F21">
    <cfRule type="expression" dxfId="13" priority="1" stopIfTrue="1">
      <formula>H8&gt;X8</formula>
    </cfRule>
  </conditionalFormatting>
  <conditionalFormatting sqref="F30:F33">
    <cfRule type="expression" dxfId="12" priority="4" stopIfTrue="1">
      <formula>H28&gt;X28</formula>
    </cfRule>
  </conditionalFormatting>
  <conditionalFormatting sqref="C10">
    <cfRule type="cellIs" dxfId="11" priority="8" stopIfTrue="1" operator="greaterThan">
      <formula>0</formula>
    </cfRule>
    <cfRule type="cellIs" dxfId="10" priority="9" stopIfTrue="1" operator="lessThanOrEqual">
      <formula>0</formula>
    </cfRule>
  </conditionalFormatting>
  <conditionalFormatting sqref="C22 D14:D15 D6:D12 C6:C9">
    <cfRule type="cellIs" dxfId="9" priority="10" stopIfTrue="1" operator="equal">
      <formula>"3A"</formula>
    </cfRule>
    <cfRule type="cellIs" dxfId="8" priority="11" stopIfTrue="1" operator="equal">
      <formula>"3B"</formula>
    </cfRule>
  </conditionalFormatting>
  <conditionalFormatting sqref="G32:G34 G6">
    <cfRule type="cellIs" dxfId="7" priority="12" stopIfTrue="1" operator="equal">
      <formula>"Done"</formula>
    </cfRule>
  </conditionalFormatting>
  <conditionalFormatting sqref="I7:K7 M7:W7">
    <cfRule type="cellIs" dxfId="6" priority="16" stopIfTrue="1" operator="equal">
      <formula>"DIO"</formula>
    </cfRule>
    <cfRule type="cellIs" dxfId="5" priority="17" stopIfTrue="1" operator="equal">
      <formula>"H"</formula>
    </cfRule>
    <cfRule type="cellIs" dxfId="4" priority="18" stopIfTrue="1" operator="equal">
      <formula>"V"</formula>
    </cfRule>
  </conditionalFormatting>
  <conditionalFormatting sqref="L7">
    <cfRule type="cellIs" dxfId="3" priority="19" stopIfTrue="1" operator="equal">
      <formula>"DIO"</formula>
    </cfRule>
    <cfRule type="cellIs" dxfId="2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K17" sqref="K17"/>
    </sheetView>
  </sheetViews>
  <sheetFormatPr baseColWidth="10" defaultColWidth="9.140625" defaultRowHeight="12.75" x14ac:dyDescent="0.2"/>
  <cols>
    <col min="1" max="1" width="2.7109375" style="43" customWidth="1"/>
    <col min="2" max="2" width="18.42578125" style="43" bestFit="1" customWidth="1"/>
    <col min="3" max="3" width="14.140625" style="43" bestFit="1" customWidth="1"/>
    <col min="4" max="4" width="22.5703125" style="43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56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90</v>
      </c>
      <c r="E6" s="132" t="s">
        <v>96</v>
      </c>
      <c r="F6" s="133" t="s">
        <v>95</v>
      </c>
      <c r="G6" s="133" t="s">
        <v>99</v>
      </c>
      <c r="H6" s="134" t="s">
        <v>98</v>
      </c>
    </row>
    <row r="7" spans="2:8" ht="13.5" thickTop="1" x14ac:dyDescent="0.2">
      <c r="C7" s="135"/>
      <c r="D7" s="136" t="s">
        <v>48</v>
      </c>
      <c r="E7" s="137"/>
      <c r="F7" s="138"/>
      <c r="G7" s="138"/>
      <c r="H7" s="139"/>
    </row>
    <row r="8" spans="2:8" x14ac:dyDescent="0.2">
      <c r="C8" s="140" t="s">
        <v>136</v>
      </c>
      <c r="D8" s="203" t="s">
        <v>137</v>
      </c>
      <c r="E8" s="141" t="s">
        <v>93</v>
      </c>
      <c r="F8" s="142" t="s">
        <v>94</v>
      </c>
      <c r="G8" s="141" t="s">
        <v>100</v>
      </c>
      <c r="H8" s="141" t="s">
        <v>91</v>
      </c>
    </row>
    <row r="9" spans="2:8" x14ac:dyDescent="0.2">
      <c r="C9" s="140" t="s">
        <v>133</v>
      </c>
      <c r="D9" s="203" t="s">
        <v>140</v>
      </c>
      <c r="E9" s="141" t="s">
        <v>93</v>
      </c>
      <c r="F9" s="142" t="s">
        <v>94</v>
      </c>
      <c r="G9" s="141" t="s">
        <v>100</v>
      </c>
      <c r="H9" s="141" t="s">
        <v>91</v>
      </c>
    </row>
    <row r="10" spans="2:8" ht="11.25" customHeight="1" x14ac:dyDescent="0.2">
      <c r="C10" s="140" t="s">
        <v>135</v>
      </c>
      <c r="D10" s="203" t="s">
        <v>139</v>
      </c>
      <c r="E10" s="141" t="s">
        <v>93</v>
      </c>
      <c r="F10" s="142" t="s">
        <v>94</v>
      </c>
      <c r="G10" s="141" t="s">
        <v>100</v>
      </c>
      <c r="H10" s="141" t="s">
        <v>91</v>
      </c>
    </row>
    <row r="11" spans="2:8" x14ac:dyDescent="0.2">
      <c r="C11" s="140" t="s">
        <v>134</v>
      </c>
      <c r="D11" s="203" t="s">
        <v>138</v>
      </c>
      <c r="E11" s="141" t="s">
        <v>93</v>
      </c>
      <c r="F11" s="142" t="s">
        <v>94</v>
      </c>
      <c r="G11" s="141" t="s">
        <v>100</v>
      </c>
      <c r="H11" s="141" t="s">
        <v>91</v>
      </c>
    </row>
    <row r="12" spans="2:8" x14ac:dyDescent="0.2">
      <c r="C12" s="140"/>
      <c r="D12" s="141"/>
      <c r="E12" s="141"/>
      <c r="F12" s="142"/>
      <c r="G12" s="141"/>
      <c r="H12" s="141"/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sortState ref="C10:C11">
    <sortCondition ref="C10"/>
  </sortState>
  <phoneticPr fontId="2" type="noConversion"/>
  <hyperlinks>
    <hyperlink ref="D8" r:id="rId1"/>
    <hyperlink ref="D9:D11" r:id="rId2" display="jony.buzz@hotmail.com"/>
    <hyperlink ref="D11" r:id="rId3"/>
    <hyperlink ref="D10" r:id="rId4"/>
    <hyperlink ref="D9" r:id="rId5"/>
  </hyperlinks>
  <pageMargins left="0.75" right="0.75" top="1" bottom="1" header="0.5" footer="0.5"/>
  <pageSetup paperSize="9" orientation="portrait" r:id="rId6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28" sqref="B28"/>
    </sheetView>
  </sheetViews>
  <sheetFormatPr baseColWidth="10" defaultColWidth="9.140625"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103</v>
      </c>
      <c r="B1" s="173"/>
    </row>
    <row r="2" spans="1:3" ht="15" x14ac:dyDescent="0.25">
      <c r="A2" s="174" t="s">
        <v>104</v>
      </c>
      <c r="B2" s="175">
        <v>2</v>
      </c>
      <c r="C2" s="180">
        <f>B2/$B$6</f>
        <v>1</v>
      </c>
    </row>
    <row r="3" spans="1:3" ht="15" x14ac:dyDescent="0.25">
      <c r="A3" s="174" t="s">
        <v>105</v>
      </c>
      <c r="B3" s="175">
        <f>COUNTIF(Sprint!$A$5:$A$45, "Tax")</f>
        <v>0</v>
      </c>
      <c r="C3" s="180">
        <f>B3/$B$6</f>
        <v>0</v>
      </c>
    </row>
    <row r="4" spans="1:3" ht="15" x14ac:dyDescent="0.25">
      <c r="A4" s="174" t="s">
        <v>106</v>
      </c>
      <c r="B4" s="175">
        <f>COUNTIF(Sprint!$A$5:$A$45, "Precondition")</f>
        <v>0</v>
      </c>
      <c r="C4" s="180">
        <f>B4/$B$6</f>
        <v>0</v>
      </c>
    </row>
    <row r="5" spans="1:3" ht="15" x14ac:dyDescent="0.25">
      <c r="A5" s="174" t="s">
        <v>107</v>
      </c>
      <c r="B5" s="175">
        <f>COUNTIF(Sprint!$A$5:$A$45, "Spike")</f>
        <v>0</v>
      </c>
      <c r="C5" s="180">
        <f t="shared" ref="C3:C5" si="0">B5/$B$6</f>
        <v>0</v>
      </c>
    </row>
    <row r="6" spans="1:3" ht="15" x14ac:dyDescent="0.25">
      <c r="A6" s="176" t="s">
        <v>127</v>
      </c>
      <c r="B6" s="181">
        <f>SUM(B2:B5)</f>
        <v>2</v>
      </c>
      <c r="C6" s="182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108</v>
      </c>
      <c r="B8" s="175"/>
    </row>
    <row r="9" spans="1:3" ht="15" x14ac:dyDescent="0.25">
      <c r="A9" s="174" t="s">
        <v>109</v>
      </c>
      <c r="B9" s="175">
        <v>1</v>
      </c>
      <c r="C9" s="180">
        <f>B9/$B$25</f>
        <v>0.2</v>
      </c>
    </row>
    <row r="10" spans="1:3" ht="15" x14ac:dyDescent="0.25">
      <c r="A10" s="174" t="s">
        <v>110</v>
      </c>
      <c r="B10" s="175">
        <f>COUNTIF(Sprint!$B$5:$B$162, "Integration Model")</f>
        <v>0</v>
      </c>
      <c r="C10" s="180">
        <f>B10/$B$25</f>
        <v>0</v>
      </c>
    </row>
    <row r="11" spans="1:3" ht="15" x14ac:dyDescent="0.25">
      <c r="A11" s="174" t="s">
        <v>111</v>
      </c>
      <c r="B11" s="175">
        <f>COUNTIF(Sprint!$B$5:$B$162, "System Frameworks")</f>
        <v>0</v>
      </c>
      <c r="C11" s="180">
        <f>B11/$B$25</f>
        <v>0</v>
      </c>
    </row>
    <row r="12" spans="1:3" ht="15" x14ac:dyDescent="0.25">
      <c r="A12" s="174" t="s">
        <v>112</v>
      </c>
      <c r="B12" s="175">
        <f>COUNTIF(Sprint!$B$5:$B$162, "Data Conversions")</f>
        <v>0</v>
      </c>
      <c r="C12" s="180">
        <f t="shared" ref="C12:C24" si="1">B12/$B$25</f>
        <v>0</v>
      </c>
    </row>
    <row r="13" spans="1:3" ht="15" x14ac:dyDescent="0.25">
      <c r="A13" s="174" t="s">
        <v>113</v>
      </c>
      <c r="B13" s="175">
        <f>COUNTIF(Sprint!$B$5:$B$162, "Security")</f>
        <v>0</v>
      </c>
      <c r="C13" s="180">
        <f t="shared" si="1"/>
        <v>0</v>
      </c>
    </row>
    <row r="14" spans="1:3" ht="15" x14ac:dyDescent="0.25">
      <c r="A14" s="174" t="s">
        <v>114</v>
      </c>
      <c r="B14" s="175">
        <f>COUNTIF(Sprint!$B$5:$B$162, "Cash Payment Tracking")</f>
        <v>0</v>
      </c>
      <c r="C14" s="180">
        <f t="shared" si="1"/>
        <v>0</v>
      </c>
    </row>
    <row r="15" spans="1:3" ht="15" x14ac:dyDescent="0.25">
      <c r="A15" s="174" t="s">
        <v>115</v>
      </c>
      <c r="B15" s="175">
        <f>COUNTIF(Sprint!$B$5:$B$162, "Views")</f>
        <v>0</v>
      </c>
      <c r="C15" s="180">
        <f t="shared" si="1"/>
        <v>0</v>
      </c>
    </row>
    <row r="16" spans="1:3" ht="15" x14ac:dyDescent="0.25">
      <c r="A16" s="174" t="s">
        <v>116</v>
      </c>
      <c r="B16" s="175">
        <f>COUNTIF(Sprint!$B$5:$B$162, "Lookups")</f>
        <v>0</v>
      </c>
      <c r="C16" s="180">
        <f t="shared" si="1"/>
        <v>0</v>
      </c>
    </row>
    <row r="17" spans="1:3" ht="15" x14ac:dyDescent="0.25">
      <c r="A17" s="174" t="s">
        <v>117</v>
      </c>
      <c r="B17" s="175">
        <f>COUNTIF(Sprint!$B$5:$B$162, "Detail screens")</f>
        <v>0</v>
      </c>
      <c r="C17" s="180">
        <f t="shared" si="1"/>
        <v>0</v>
      </c>
    </row>
    <row r="18" spans="1:3" ht="15" x14ac:dyDescent="0.25">
      <c r="A18" s="174" t="s">
        <v>118</v>
      </c>
      <c r="B18" s="175">
        <f>COUNTIF(Sprint!$B$5:$B$162, "Notifications")</f>
        <v>0</v>
      </c>
      <c r="C18" s="180">
        <f t="shared" si="1"/>
        <v>0</v>
      </c>
    </row>
    <row r="19" spans="1:3" ht="15" x14ac:dyDescent="0.25">
      <c r="A19" s="174" t="s">
        <v>119</v>
      </c>
      <c r="B19" s="175">
        <f>COUNTIF(Sprint!$B$5:$B$162, "Reports")</f>
        <v>0</v>
      </c>
      <c r="C19" s="180">
        <f t="shared" si="1"/>
        <v>0</v>
      </c>
    </row>
    <row r="20" spans="1:3" ht="15" x14ac:dyDescent="0.25">
      <c r="A20" s="174" t="s">
        <v>120</v>
      </c>
      <c r="B20" s="175">
        <f>COUNTIF(Sprint!$B$5:$B$162, "Installation Package")</f>
        <v>0</v>
      </c>
      <c r="C20" s="180">
        <f t="shared" si="1"/>
        <v>0</v>
      </c>
    </row>
    <row r="21" spans="1:3" ht="15" x14ac:dyDescent="0.25">
      <c r="A21" s="174" t="s">
        <v>121</v>
      </c>
      <c r="B21" s="175">
        <f>COUNTIF(Sprint!$B$5:$B$162, "Deployment")</f>
        <v>0</v>
      </c>
      <c r="C21" s="180">
        <f t="shared" si="1"/>
        <v>0</v>
      </c>
    </row>
    <row r="22" spans="1:3" ht="15" x14ac:dyDescent="0.25">
      <c r="A22" s="174" t="s">
        <v>122</v>
      </c>
      <c r="B22" s="175">
        <v>2</v>
      </c>
      <c r="C22" s="180">
        <f t="shared" si="1"/>
        <v>0.4</v>
      </c>
    </row>
    <row r="23" spans="1:3" ht="15" x14ac:dyDescent="0.25">
      <c r="A23" s="174" t="s">
        <v>123</v>
      </c>
      <c r="B23" s="175">
        <v>2</v>
      </c>
      <c r="C23" s="180">
        <f t="shared" si="1"/>
        <v>0.4</v>
      </c>
    </row>
    <row r="24" spans="1:3" ht="15" x14ac:dyDescent="0.25">
      <c r="A24" s="174" t="s">
        <v>124</v>
      </c>
      <c r="B24" s="175">
        <f>COUNTIF(Sprint!$B$5:$B$162, "Project Mgt")</f>
        <v>0</v>
      </c>
      <c r="C24" s="180">
        <f t="shared" si="1"/>
        <v>0</v>
      </c>
    </row>
    <row r="25" spans="1:3" ht="15" x14ac:dyDescent="0.25">
      <c r="A25" s="176" t="s">
        <v>127</v>
      </c>
      <c r="B25" s="179">
        <f>SUM(B9:B24)</f>
        <v>5</v>
      </c>
      <c r="C25" s="180">
        <f>SUM(C9:C24)</f>
        <v>1</v>
      </c>
    </row>
    <row r="27" spans="1:3" ht="15" x14ac:dyDescent="0.25">
      <c r="A27" s="178" t="s">
        <v>126</v>
      </c>
    </row>
    <row r="28" spans="1:3" ht="15" x14ac:dyDescent="0.25">
      <c r="A28" s="174" t="s">
        <v>128</v>
      </c>
      <c r="B28" s="175">
        <f ca="1">COUNTIF(Sprint!$G$5:$G$45, "Complete")</f>
        <v>0</v>
      </c>
      <c r="C28" s="180">
        <f ca="1">B28/$B$33</f>
        <v>0</v>
      </c>
    </row>
    <row r="29" spans="1:3" ht="15" x14ac:dyDescent="0.25">
      <c r="A29" s="174" t="s">
        <v>129</v>
      </c>
      <c r="B29" s="175">
        <f ca="1">COUNTIF(Sprint!$G$5:$G$45, "In Progress")</f>
        <v>0</v>
      </c>
      <c r="C29" s="180">
        <f t="shared" ref="C29:C32" ca="1" si="2">B29/$B$33</f>
        <v>0</v>
      </c>
    </row>
    <row r="30" spans="1:3" ht="15" x14ac:dyDescent="0.25">
      <c r="A30" s="174" t="s">
        <v>130</v>
      </c>
      <c r="B30" s="175">
        <f ca="1">COUNTIF(Sprint!$G$5:$G$45, "Pending")</f>
        <v>9</v>
      </c>
      <c r="C30" s="180">
        <f t="shared" ca="1" si="2"/>
        <v>1</v>
      </c>
    </row>
    <row r="31" spans="1:3" ht="15" x14ac:dyDescent="0.25">
      <c r="A31" s="174" t="s">
        <v>125</v>
      </c>
      <c r="B31" s="175">
        <f ca="1">COUNTIF(Sprint!$G$5:$G$45, "Postponed")</f>
        <v>0</v>
      </c>
      <c r="C31" s="180">
        <f t="shared" ca="1" si="2"/>
        <v>0</v>
      </c>
    </row>
    <row r="32" spans="1:3" ht="15" x14ac:dyDescent="0.25">
      <c r="A32" s="178" t="s">
        <v>131</v>
      </c>
      <c r="B32" s="175">
        <f ca="1">COUNTIF(Sprint!$G$5:$G$45, "Cancelled")</f>
        <v>0</v>
      </c>
      <c r="C32" s="180">
        <f t="shared" ca="1" si="2"/>
        <v>0</v>
      </c>
    </row>
    <row r="33" spans="1:3" ht="15" x14ac:dyDescent="0.25">
      <c r="A33" s="183" t="s">
        <v>127</v>
      </c>
      <c r="B33" s="184">
        <f ca="1">SUM(B28:B32)</f>
        <v>9</v>
      </c>
      <c r="C33" s="185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Capacity!Área_de_impresión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user</cp:lastModifiedBy>
  <cp:revision>1</cp:revision>
  <cp:lastPrinted>2014-06-05T01:59:40Z</cp:lastPrinted>
  <dcterms:created xsi:type="dcterms:W3CDTF">2005-01-26T21:50:47Z</dcterms:created>
  <dcterms:modified xsi:type="dcterms:W3CDTF">2014-06-05T03:30:30Z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